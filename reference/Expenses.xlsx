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lit" sheetId="1" r:id="rId4"/>
    <sheet state="visible" name="People" sheetId="2" r:id="rId5"/>
    <sheet state="visible" name="Expenses" sheetId="3" r:id="rId6"/>
    <sheet state="hidden" name="Currencies" sheetId="4" r:id="rId7"/>
    <sheet state="hidden" name="3D8DE36231C" sheetId="5" r:id="rId8"/>
  </sheets>
  <definedNames>
    <definedName localSheetId="4" name="Total">'3D8DE36231C'!$C$3</definedName>
    <definedName name="Title">Split!$D$1</definedName>
    <definedName name="SelectedMainCurrencySymbol">Split!$H$2</definedName>
    <definedName localSheetId="4" name="ExplicitPayers">'3D8DE36231C'!$C$4</definedName>
    <definedName localSheetId="4" name="EffectiveCurrencySymbol">'3D8DE36231C'!$F$1</definedName>
    <definedName localSheetId="2" name="ExplicitPayers">Expenses!$C$4</definedName>
    <definedName name="SelectedMainCurrencyAbbr">Split!$G$2</definedName>
    <definedName localSheetId="2" name="Total">Expenses!$C$3</definedName>
    <definedName localSheetId="2" name="EffectiveCurrencySymbol">Expenses!$F$1</definedName>
    <definedName name="EffectiveCurrencySymbol">#REF!</definedName>
    <definedName name="EffectiveMainCurrencySymbol">Split!$J$2</definedName>
    <definedName name="SPLITSHEET_COL">LAMBDA(cols, Offset(cols,9,0,Rows(cols)-9))</definedName>
    <definedName name="GETSHEETNAMES">LAMBDA(formularange, include_zero_totals, LET(
  txt, FORMULATEXT(formulaRange),
  inside, REGEXEXTRACT(txt, "sheetNames\s*,\s*\{([^\}]+)\}"),
  parts, SPLIT(inside, ","),
  sheetNames, ARRAYFORMULA(Substitute(REGEXREPLACE(TRIM(parts),"^'|'?!A1$",""),"''","'")),
  TRANSPOSE(
    IF(
      include_zero_totals,
      sheetNames,
      IfError(FILTER(
        sheetNames,
        MAP(sheetNames, LAMBDA(s, INDIRECT(s&amp;"!Total")&gt;0))
      ),)
    )
  )
))</definedName>
    <definedName name="EXPAND_TO_LAST_ROW">LAMBDA(range, Offset(range,0,0,Rows(Split!$A:$A)-Row(range)+1))</definedName>
    <definedName name="EXPAND_TO_LAST_NAME_COL">LAMBDA(arg, LET(
  c, COLUMN(arg),
  w, MAX(IF(LEN(Split!$M$7:$7), COLUMN(Split!$M$7:$7) - c + 1)),
  OFFSET(arg, 0, 0, , If(w=0,1,w))
))</definedName>
    <definedName name="LAST_ROW">LAMBDA(range, ArrayFormula(max(if(len(range),row(range)))))</definedName>
    <definedName name="JSON_PROP">LAMBDA(name, value, wrapinquotes, IF(
  wrapInQuotes,
  """" &amp; JSON_ESCAPE(name) &amp; """:""" &amp; JSON_ESCAPE(value) &amp; """",
  """" &amp; JSON_ESCAPE(name) &amp; """:" &amp; TO_TEXT(value)
))</definedName>
    <definedName name="EXPENSESHEET_COL">LAMBDA(cols, Offset(cols,9,0,Rows(cols)-9))</definedName>
    <definedName name="ADD_EMPTY_ROW">LAMBDA(array, {MAKEARRAY(1,Columns(array),LAMBDA(r,c,));array})</definedName>
    <definedName name="GET_SHEET_RANGE">LAMBDA(name, LET(
    orgRange, SPLITSHEET_COL(Split!$C:$C),
    startRow, ROW(orgRange),
    endRow, LAST_ROW(orgRange),
    IF(endRow = 0, "null",
      LET(
        rowCount, endRow - startRow + 1,
        rng, ARRAY_CONSTRAIN(orgRange, rowCount, 1),
        r, SEQUENCE(rowCount, 1, startRow),
        match, BYROW(rng, LAMBDA(cell,
          LEFT(cell, LEN(name) + 1) = name &amp; "!"
        )),
        count, COUNTIF(match, TRUE),
        IF(count = 0, "null",
          LET(
            matched, FILTER(r, match),
            "[" &amp; MIN(matched) &amp; "," &amp; MAX(matched) &amp; "]"
          )
        )
      )
    )
  ))</definedName>
    <definedName name="JSON_ESCAPE">LAMBDA(text, SUBSTITUTE(
  SUBSTITUTE(
    SUBSTITUTE(
      SUBSTITUTE(
        SUBSTITUTE(text, "\", "\\"),
        """", "\"""
      ),
      CHAR(10), "\n"
    ),
    CHAR(13), "\r"
  ),
  CHAR(9), "\t"
))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3">
      <text>
        <t xml:space="preserve">is payer missing</t>
      </text>
    </comment>
    <comment authorId="0" ref="I3">
      <text>
        <t xml:space="preserve">Sheets were changed and aggregate formula needs to be updated. This causes an onEdit to raise as well, when sheets are deleted, otherwise, no event would be raised.</t>
      </text>
    </comment>
    <comment authorId="0" ref="L4">
      <text>
        <t xml:space="preserve">use only for conditional formatting, otherwise, use EXPAND_TO_LAST_NAME_COL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Implements fallback mechanism, since sometimes the custom function in currencies sheet doesn't load correctly and gets stuck on Loading...</t>
      </text>
    </comment>
    <comment authorId="0" ref="F4">
      <text>
        <t xml:space="preserve">This serves to force trigger edit event on row deletion</t>
      </text>
    </comment>
    <comment authorId="0" ref="F3">
      <text>
        <t xml:space="preserve">If conditional formatting on any area are updated, uncomment the buildRedIndicator call in code to rebuild this formula based on them.</t>
      </text>
    </comment>
    <comment authorId="0" ref="C5">
      <text>
        <t xml:space="preserve">Entering amount, or % for Tax, Tip and Discount. Clear the cell to reset.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Implements fallback mechanism, since sometimes the custom function in currencies sheet doesn't load correctly and gets stuck on Loading...</t>
      </text>
    </comment>
    <comment authorId="0" ref="F4">
      <text>
        <t xml:space="preserve">This serves to force trigger edit event on row deletion</t>
      </text>
    </comment>
    <comment authorId="0" ref="F3">
      <text>
        <t xml:space="preserve">If conditional formatting on any area are updated, uncomment the buildRedIndicator call in code to rebuild this formula based on them.</t>
      </text>
    </comment>
    <comment authorId="0" ref="C5">
      <text>
        <t xml:space="preserve">Entering amount, or % for Tax, Tip and Discount. Clear the cell to reset.</t>
      </text>
    </comment>
  </commentList>
</comments>
</file>

<file path=xl/sharedStrings.xml><?xml version="1.0" encoding="utf-8"?>
<sst xmlns="http://schemas.openxmlformats.org/spreadsheetml/2006/main" count="1535" uniqueCount="1019">
  <si>
    <t>Names</t>
  </si>
  <si>
    <t>Help</t>
  </si>
  <si>
    <t>[]</t>
  </si>
  <si>
    <t>Default</t>
  </si>
  <si>
    <t/>
  </si>
  <si>
    <t>Copy of Blank</t>
  </si>
  <si>
    <t>(USD)                    US Dollar</t>
  </si>
  <si>
    <t>main currency:</t>
  </si>
  <si>
    <t>applied currency:</t>
  </si>
  <si>
    <t>US Dollar</t>
  </si>
  <si>
    <t>USD</t>
  </si>
  <si>
    <t>$</t>
  </si>
  <si>
    <t>aave</t>
  </si>
  <si>
    <t>Euro</t>
  </si>
  <si>
    <t>EUR</t>
  </si>
  <si>
    <t>€</t>
  </si>
  <si>
    <t>(EUR)                    Euro</t>
  </si>
  <si>
    <t>ada</t>
  </si>
  <si>
    <t>Afghan Afghani</t>
  </si>
  <si>
    <t>AFN</t>
  </si>
  <si>
    <t>؋</t>
  </si>
  <si>
    <t>(AFN)                    Afghan Afghani</t>
  </si>
  <si>
    <t>aed</t>
  </si>
  <si>
    <t>Albanian Lek</t>
  </si>
  <si>
    <t>ALL</t>
  </si>
  <si>
    <t>L</t>
  </si>
  <si>
    <t>(ALL)                    Albanian Lek</t>
  </si>
  <si>
    <t>afn</t>
  </si>
  <si>
    <t>Algerian Dinar</t>
  </si>
  <si>
    <t>DZD</t>
  </si>
  <si>
    <t>دج</t>
  </si>
  <si>
    <t>(DZD)                    Algerian Dinar</t>
  </si>
  <si>
    <t>agix</t>
  </si>
  <si>
    <t>Algorand</t>
  </si>
  <si>
    <t>ALGO</t>
  </si>
  <si>
    <t>(ALGO)                    Algorand</t>
  </si>
  <si>
    <t>akt</t>
  </si>
  <si>
    <t>Angolan Kwanza</t>
  </si>
  <si>
    <t>AOA</t>
  </si>
  <si>
    <t>Kz</t>
  </si>
  <si>
    <t>(AOA)                    Angolan Kwanza</t>
  </si>
  <si>
    <t>algo</t>
  </si>
  <si>
    <t>Argentine Peso</t>
  </si>
  <si>
    <t>ARS</t>
  </si>
  <si>
    <t>(ARS)                    Argentine Peso</t>
  </si>
  <si>
    <t>all</t>
  </si>
  <si>
    <t>Armenian Dram</t>
  </si>
  <si>
    <t>AMD</t>
  </si>
  <si>
    <t>֏</t>
  </si>
  <si>
    <t>(AMD)                    Armenian Dram</t>
  </si>
  <si>
    <t>amd</t>
  </si>
  <si>
    <t>Aruban or Dutch Guilder</t>
  </si>
  <si>
    <t>AWG</t>
  </si>
  <si>
    <t>ƒ</t>
  </si>
  <si>
    <t>(AWG)                    Aruban or Dutch Guilder</t>
  </si>
  <si>
    <t>amp</t>
  </si>
  <si>
    <t>Australian Dollar</t>
  </si>
  <si>
    <t>AUD</t>
  </si>
  <si>
    <t>(AUD)                    Australian Dollar</t>
  </si>
  <si>
    <t>ang</t>
  </si>
  <si>
    <t>Azerbaijan Manat</t>
  </si>
  <si>
    <t>AZN</t>
  </si>
  <si>
    <t>₼</t>
  </si>
  <si>
    <t>(AZN)                    Azerbaijan Manat</t>
  </si>
  <si>
    <t>aoa</t>
  </si>
  <si>
    <t>Bahamian Dollar</t>
  </si>
  <si>
    <t>BSD</t>
  </si>
  <si>
    <t>(BSD)                    Bahamian Dollar</t>
  </si>
  <si>
    <t>ape</t>
  </si>
  <si>
    <t>Bahraini Dinar</t>
  </si>
  <si>
    <t>BHD</t>
  </si>
  <si>
    <t>د.ب</t>
  </si>
  <si>
    <t>(BHD)                    Bahraini Dinar</t>
  </si>
  <si>
    <t>apt</t>
  </si>
  <si>
    <t>Bangladeshi Taka</t>
  </si>
  <si>
    <t>BDT</t>
  </si>
  <si>
    <t>৳</t>
  </si>
  <si>
    <t>(BDT)                    Bangladeshi Taka</t>
  </si>
  <si>
    <t>ar</t>
  </si>
  <si>
    <t>Barbadian or Bajan Dollar</t>
  </si>
  <si>
    <t>BBD</t>
  </si>
  <si>
    <t>(BBD)                    Barbadian or Bajan Dollar</t>
  </si>
  <si>
    <t>arb</t>
  </si>
  <si>
    <t>Belarusian Ruble</t>
  </si>
  <si>
    <t>BYN</t>
  </si>
  <si>
    <t>Br</t>
  </si>
  <si>
    <t>(BYN)                    Belarusian Ruble</t>
  </si>
  <si>
    <t>ars</t>
  </si>
  <si>
    <t>BYR</t>
  </si>
  <si>
    <t>(BYR)                    Belarusian Ruble</t>
  </si>
  <si>
    <t>atom</t>
  </si>
  <si>
    <t>Belizean Dollar</t>
  </si>
  <si>
    <t>BZD</t>
  </si>
  <si>
    <t>BZ$</t>
  </si>
  <si>
    <t>(BZD)                    Belizean Dollar</t>
  </si>
  <si>
    <t>ats</t>
  </si>
  <si>
    <t>Bermudian Dollar</t>
  </si>
  <si>
    <t>BMD</t>
  </si>
  <si>
    <t>(BMD)                    Bermudian Dollar</t>
  </si>
  <si>
    <t>aud</t>
  </si>
  <si>
    <t>Bhutanese Ngultrum</t>
  </si>
  <si>
    <t>BTN</t>
  </si>
  <si>
    <t>Nu.</t>
  </si>
  <si>
    <t>(BTN)                    Bhutanese Ngultrum</t>
  </si>
  <si>
    <t>avax</t>
  </si>
  <si>
    <t>Bitcoin</t>
  </si>
  <si>
    <t>BTC</t>
  </si>
  <si>
    <t>₿</t>
  </si>
  <si>
    <t>(BTC)                    Bitcoin</t>
  </si>
  <si>
    <t>awg</t>
  </si>
  <si>
    <t>Bolivian Bolíviano</t>
  </si>
  <si>
    <t>BOB</t>
  </si>
  <si>
    <t>Bs.</t>
  </si>
  <si>
    <t>(BOB)                    Bolivian Bolíviano</t>
  </si>
  <si>
    <t>axs</t>
  </si>
  <si>
    <t>Bosnian Convertible Mark</t>
  </si>
  <si>
    <t>BAM</t>
  </si>
  <si>
    <t>KM</t>
  </si>
  <si>
    <t>(BAM)                    Bosnian Convertible Mark</t>
  </si>
  <si>
    <t>azm</t>
  </si>
  <si>
    <t>Botswana Pula</t>
  </si>
  <si>
    <t>BWP</t>
  </si>
  <si>
    <t>P</t>
  </si>
  <si>
    <t>(BWP)                    Botswana Pula</t>
  </si>
  <si>
    <t>azn</t>
  </si>
  <si>
    <t>Brazilian Real</t>
  </si>
  <si>
    <t>BRL</t>
  </si>
  <si>
    <t>R$</t>
  </si>
  <si>
    <t>(BRL)                    Brazilian Real</t>
  </si>
  <si>
    <t>bake</t>
  </si>
  <si>
    <t>British Pound</t>
  </si>
  <si>
    <t>GBP</t>
  </si>
  <si>
    <t>£</t>
  </si>
  <si>
    <t>(GBP)                    British Pound</t>
  </si>
  <si>
    <t>bam</t>
  </si>
  <si>
    <t>Bruneian Dollar</t>
  </si>
  <si>
    <t>BND</t>
  </si>
  <si>
    <t>(BND)                    Bruneian Dollar</t>
  </si>
  <si>
    <t>bat</t>
  </si>
  <si>
    <t>Bulgarian Lev</t>
  </si>
  <si>
    <t>BGN</t>
  </si>
  <si>
    <t>лв</t>
  </si>
  <si>
    <t>1st  bill row:</t>
  </si>
  <si>
    <t>(BGN)                    Bulgarian Lev</t>
  </si>
  <si>
    <t>bbd</t>
  </si>
  <si>
    <t>Burmese Kyat</t>
  </si>
  <si>
    <t>MMK</t>
  </si>
  <si>
    <t>K</t>
  </si>
  <si>
    <t>(MMK)                    Burmese Kyat</t>
  </si>
  <si>
    <t>bch</t>
  </si>
  <si>
    <t>Burundian Franc</t>
  </si>
  <si>
    <t>BIF</t>
  </si>
  <si>
    <t>FBu</t>
  </si>
  <si>
    <t>(BIF)                    Burundian Franc</t>
  </si>
  <si>
    <t>bdt</t>
  </si>
  <si>
    <t>Cambodian Riel</t>
  </si>
  <si>
    <t>KHR</t>
  </si>
  <si>
    <t>៛</t>
  </si>
  <si>
    <t>(KHR)                    Cambodian Riel</t>
  </si>
  <si>
    <t>bef</t>
  </si>
  <si>
    <t>Canadian Dollar</t>
  </si>
  <si>
    <t>CAD</t>
  </si>
  <si>
    <t>(CAD)                    Canadian Dollar</t>
  </si>
  <si>
    <t>bgn</t>
  </si>
  <si>
    <t>Cape Verdean Escudo</t>
  </si>
  <si>
    <t>CVE</t>
  </si>
  <si>
    <t>(CVE)                    Cape Verdean Escudo</t>
  </si>
  <si>
    <t>bhd</t>
  </si>
  <si>
    <t>Cardano</t>
  </si>
  <si>
    <t>ADA</t>
  </si>
  <si>
    <t>₳</t>
  </si>
  <si>
    <t>(ADA)                    Cardano</t>
  </si>
  <si>
    <t>bif</t>
  </si>
  <si>
    <t>Caymanian Dollar</t>
  </si>
  <si>
    <t>KYD</t>
  </si>
  <si>
    <t>(KYD)                    Caymanian Dollar</t>
  </si>
  <si>
    <t>bmd</t>
  </si>
  <si>
    <t>Central African CFA Franc BEAC</t>
  </si>
  <si>
    <t>XAF</t>
  </si>
  <si>
    <t>CFA</t>
  </si>
  <si>
    <t>(XAF)                    Central African CFA Franc BEAC</t>
  </si>
  <si>
    <t>bnb</t>
  </si>
  <si>
    <t>CFA Franc</t>
  </si>
  <si>
    <t>XOF</t>
  </si>
  <si>
    <t>(XOF)                    CFA Franc</t>
  </si>
  <si>
    <t>bnd</t>
  </si>
  <si>
    <t>CFP Franc</t>
  </si>
  <si>
    <t>XPF</t>
  </si>
  <si>
    <t>₣</t>
  </si>
  <si>
    <t>(XPF)                    CFP Franc</t>
  </si>
  <si>
    <t>bob</t>
  </si>
  <si>
    <t>Chainlink</t>
  </si>
  <si>
    <t>LINK</t>
  </si>
  <si>
    <t>(LINK)                    Chainlink</t>
  </si>
  <si>
    <t>rightmost share value column number:</t>
  </si>
  <si>
    <t>brl</t>
  </si>
  <si>
    <t>Chilean Peso</t>
  </si>
  <si>
    <t>CLP</t>
  </si>
  <si>
    <t>(CLP)                    Chilean Peso</t>
  </si>
  <si>
    <t>bsd</t>
  </si>
  <si>
    <t>Chinese Yuan Renminbi</t>
  </si>
  <si>
    <t>CNY</t>
  </si>
  <si>
    <t>¥</t>
  </si>
  <si>
    <t>(CNY)                    Chinese Yuan Renminbi</t>
  </si>
  <si>
    <t>bsv</t>
  </si>
  <si>
    <t>Chinese Yuan Renminbi Offshore</t>
  </si>
  <si>
    <t>CNH</t>
  </si>
  <si>
    <t>(CNH)                    Chinese Yuan Renminbi Offshore</t>
  </si>
  <si>
    <t>bsw</t>
  </si>
  <si>
    <t>Colombian Peso</t>
  </si>
  <si>
    <t>COP</t>
  </si>
  <si>
    <t>(COP)                    Colombian Peso</t>
  </si>
  <si>
    <t>btc</t>
  </si>
  <si>
    <t>Comorian Franc</t>
  </si>
  <si>
    <t>KMF</t>
  </si>
  <si>
    <t>CF</t>
  </si>
  <si>
    <t>(KMF)                    Comorian Franc</t>
  </si>
  <si>
    <t>btcb</t>
  </si>
  <si>
    <t>Congolese Franc</t>
  </si>
  <si>
    <t>CDF</t>
  </si>
  <si>
    <t>FC</t>
  </si>
  <si>
    <t>(CDF)                    Congolese Franc</t>
  </si>
  <si>
    <t>btg</t>
  </si>
  <si>
    <t>Cosmos</t>
  </si>
  <si>
    <t>ATOM</t>
  </si>
  <si>
    <t>(ATOM)                    Cosmos</t>
  </si>
  <si>
    <t>btn</t>
  </si>
  <si>
    <t>Costa Rican Colon</t>
  </si>
  <si>
    <t>CRC</t>
  </si>
  <si>
    <t>₡</t>
  </si>
  <si>
    <t>Total:</t>
  </si>
  <si>
    <t>(CRC)                    Costa Rican Colon</t>
  </si>
  <si>
    <t>btt</t>
  </si>
  <si>
    <t>Croatian Kuna</t>
  </si>
  <si>
    <t>HRK</t>
  </si>
  <si>
    <t>kn</t>
  </si>
  <si>
    <t>(HRK)                    Croatian Kuna</t>
  </si>
  <si>
    <t>busd</t>
  </si>
  <si>
    <t>Cuban Convertible Peso</t>
  </si>
  <si>
    <t>CUC</t>
  </si>
  <si>
    <t>CUC$</t>
  </si>
  <si>
    <t>(CUC)                    Cuban Convertible Peso</t>
  </si>
  <si>
    <t>bwp</t>
  </si>
  <si>
    <t>Cuban Peso</t>
  </si>
  <si>
    <t>CUP</t>
  </si>
  <si>
    <t>₱</t>
  </si>
  <si>
    <t>(CUP)                    Cuban Peso</t>
  </si>
  <si>
    <t>byn</t>
  </si>
  <si>
    <t>Czech Koruna</t>
  </si>
  <si>
    <t>CZK</t>
  </si>
  <si>
    <t>Kč</t>
  </si>
  <si>
    <t>(CZK)                    Czech Koruna</t>
  </si>
  <si>
    <t>byr</t>
  </si>
  <si>
    <t>Danish Krone</t>
  </si>
  <si>
    <t>DKK</t>
  </si>
  <si>
    <t>kr</t>
  </si>
  <si>
    <t>(DKK)                    Danish Krone</t>
  </si>
  <si>
    <t>bzd</t>
  </si>
  <si>
    <t>Djiboutian Franc</t>
  </si>
  <si>
    <t>DJF</t>
  </si>
  <si>
    <t>Fdj</t>
  </si>
  <si>
    <t>(DJF)                    Djiboutian Franc</t>
  </si>
  <si>
    <t>cad</t>
  </si>
  <si>
    <t>Dogecoin</t>
  </si>
  <si>
    <t>DOGE</t>
  </si>
  <si>
    <t>Ð</t>
  </si>
  <si>
    <t>(DOGE)                    Dogecoin</t>
  </si>
  <si>
    <t>cake</t>
  </si>
  <si>
    <t>Dominican Peso</t>
  </si>
  <si>
    <t>DOP</t>
  </si>
  <si>
    <t>RD$</t>
  </si>
  <si>
    <t>(DOP)                    Dominican Peso</t>
  </si>
  <si>
    <t>cdf</t>
  </si>
  <si>
    <t>Dutch Guilder</t>
  </si>
  <si>
    <t>ANG</t>
  </si>
  <si>
    <t>(ANG)                    Dutch Guilder</t>
  </si>
  <si>
    <t>celo</t>
  </si>
  <si>
    <t>East Caribbean Dollar</t>
  </si>
  <si>
    <t>XCD</t>
  </si>
  <si>
    <t>(XCD)                    East Caribbean Dollar</t>
  </si>
  <si>
    <t>cfx</t>
  </si>
  <si>
    <t>Egyptian Pound</t>
  </si>
  <si>
    <t>EGP</t>
  </si>
  <si>
    <t>(EGP)                    Egyptian Pound</t>
  </si>
  <si>
    <t>chf</t>
  </si>
  <si>
    <t>Emirati Dirham</t>
  </si>
  <si>
    <t>AED</t>
  </si>
  <si>
    <t>د.إ</t>
  </si>
  <si>
    <t>(AED)                    Emirati Dirham</t>
  </si>
  <si>
    <t>chz</t>
  </si>
  <si>
    <t>Eritrean Nakfa</t>
  </si>
  <si>
    <t>ERN</t>
  </si>
  <si>
    <t>Nfk</t>
  </si>
  <si>
    <t>(ERN)                    Eritrean Nakfa</t>
  </si>
  <si>
    <t>clp</t>
  </si>
  <si>
    <t>Ethereum</t>
  </si>
  <si>
    <t>ETH</t>
  </si>
  <si>
    <t>Ξ</t>
  </si>
  <si>
    <t>(ETH)                    Ethereum</t>
  </si>
  <si>
    <t>cnh</t>
  </si>
  <si>
    <t>Paid By:</t>
  </si>
  <si>
    <t>Ethiopian Birr</t>
  </si>
  <si>
    <t>ETB</t>
  </si>
  <si>
    <t>(ETB)                    Ethiopian Birr</t>
  </si>
  <si>
    <t>cny</t>
  </si>
  <si>
    <t>Falkland Island Pound</t>
  </si>
  <si>
    <t>FKP</t>
  </si>
  <si>
    <t>(FKP)                    Falkland Island Pound</t>
  </si>
  <si>
    <t>comp</t>
  </si>
  <si>
    <t>Fijian Dollar</t>
  </si>
  <si>
    <t>FJD</t>
  </si>
  <si>
    <t>(FJD)                    Fijian Dollar</t>
  </si>
  <si>
    <t>cop</t>
  </si>
  <si>
    <t>Gambian Dalasi</t>
  </si>
  <si>
    <t>GMD</t>
  </si>
  <si>
    <t>D</t>
  </si>
  <si>
    <t>(GMD)                    Gambian Dalasi</t>
  </si>
  <si>
    <t>crc</t>
  </si>
  <si>
    <t>Georgian Lari</t>
  </si>
  <si>
    <t>GEL</t>
  </si>
  <si>
    <t>₾</t>
  </si>
  <si>
    <t>(GEL)                    Georgian Lari</t>
  </si>
  <si>
    <t>cro</t>
  </si>
  <si>
    <t>Ghanaian Cedi</t>
  </si>
  <si>
    <t>GHS</t>
  </si>
  <si>
    <t>₵</t>
  </si>
  <si>
    <t>(GHS)                    Ghanaian Cedi</t>
  </si>
  <si>
    <t>crv</t>
  </si>
  <si>
    <t>Gibraltar Pound</t>
  </si>
  <si>
    <t>GIP</t>
  </si>
  <si>
    <t>(GIP)                    Gibraltar Pound</t>
  </si>
  <si>
    <t>cspr</t>
  </si>
  <si>
    <t>Gold Ounce</t>
  </si>
  <si>
    <t>XAU</t>
  </si>
  <si>
    <t>Au</t>
  </si>
  <si>
    <t>(XAU)                    Gold Ounce</t>
  </si>
  <si>
    <t>cuc</t>
  </si>
  <si>
    <t>Guatemalan Quetzal</t>
  </si>
  <si>
    <t>GTQ</t>
  </si>
  <si>
    <t>Q</t>
  </si>
  <si>
    <t>(GTQ)                    Guatemalan Quetzal</t>
  </si>
  <si>
    <t>cup</t>
  </si>
  <si>
    <t>Guernsey Pound</t>
  </si>
  <si>
    <t>GGP</t>
  </si>
  <si>
    <t>(GGP)                    Guernsey Pound</t>
  </si>
  <si>
    <t>cve</t>
  </si>
  <si>
    <t>Guinean Franc</t>
  </si>
  <si>
    <t>GNF</t>
  </si>
  <si>
    <t>FG</t>
  </si>
  <si>
    <t>(GNF)                    Guinean Franc</t>
  </si>
  <si>
    <t>cvx</t>
  </si>
  <si>
    <t>Guyanese Dollar</t>
  </si>
  <si>
    <t>GYD</t>
  </si>
  <si>
    <t>(GYD)                    Guyanese Dollar</t>
  </si>
  <si>
    <t>cyp</t>
  </si>
  <si>
    <t>Haitian Gourde</t>
  </si>
  <si>
    <t>HTG</t>
  </si>
  <si>
    <t>G</t>
  </si>
  <si>
    <t>(HTG)                    Haitian Gourde</t>
  </si>
  <si>
    <t>czk</t>
  </si>
  <si>
    <t>Honduran Lempira</t>
  </si>
  <si>
    <t>HNL</t>
  </si>
  <si>
    <t>(HNL)                    Honduran Lempira</t>
  </si>
  <si>
    <t>dai</t>
  </si>
  <si>
    <t>Hong Kong Dollar</t>
  </si>
  <si>
    <t>HKD</t>
  </si>
  <si>
    <t>(HKD)                    Hong Kong Dollar</t>
  </si>
  <si>
    <t>dash</t>
  </si>
  <si>
    <t>Hungarian Forint</t>
  </si>
  <si>
    <t>HUF</t>
  </si>
  <si>
    <t>Ft</t>
  </si>
  <si>
    <t>(HUF)                    Hungarian Forint</t>
  </si>
  <si>
    <t>dcr</t>
  </si>
  <si>
    <t>Icelandic Krona</t>
  </si>
  <si>
    <t>ISK</t>
  </si>
  <si>
    <t>(ISK)                    Icelandic Krona</t>
  </si>
  <si>
    <t>dem</t>
  </si>
  <si>
    <t>IMF Special Drawing Rights</t>
  </si>
  <si>
    <t>XDR</t>
  </si>
  <si>
    <t>SDR</t>
  </si>
  <si>
    <t>(XDR)                    IMF Special Drawing Rights</t>
  </si>
  <si>
    <t>dfi</t>
  </si>
  <si>
    <t>Indian Rupee</t>
  </si>
  <si>
    <t>INR</t>
  </si>
  <si>
    <t>₹</t>
  </si>
  <si>
    <t>(INR)                    Indian Rupee</t>
  </si>
  <si>
    <t>djf</t>
  </si>
  <si>
    <t>Indonesian Rupiah</t>
  </si>
  <si>
    <t>IDR</t>
  </si>
  <si>
    <t>Rp</t>
  </si>
  <si>
    <t>(IDR)                    Indonesian Rupiah</t>
  </si>
  <si>
    <t>dkk</t>
  </si>
  <si>
    <t>Iranian Rial</t>
  </si>
  <si>
    <t>IRR</t>
  </si>
  <si>
    <t>﷼</t>
  </si>
  <si>
    <t>(IRR)                    Iranian Rial</t>
  </si>
  <si>
    <t>doge</t>
  </si>
  <si>
    <t>Iraqi Dinar</t>
  </si>
  <si>
    <t>IQD</t>
  </si>
  <si>
    <t>ع.د</t>
  </si>
  <si>
    <t>(IQD)                    Iraqi Dinar</t>
  </si>
  <si>
    <t>dop</t>
  </si>
  <si>
    <t>Item</t>
  </si>
  <si>
    <t>Isle of Man Pound</t>
  </si>
  <si>
    <t>IMP</t>
  </si>
  <si>
    <t>(IMP)                    Isle of Man Pound</t>
  </si>
  <si>
    <t>dot</t>
  </si>
  <si>
    <t>Amount</t>
  </si>
  <si>
    <t>Israeli Shekel</t>
  </si>
  <si>
    <t>ILS</t>
  </si>
  <si>
    <t>₪</t>
  </si>
  <si>
    <t>(ILS)                    Israeli Shekel</t>
  </si>
  <si>
    <t>dydx</t>
  </si>
  <si>
    <t>Jamaican Dollar</t>
  </si>
  <si>
    <t>JMD</t>
  </si>
  <si>
    <t>J$</t>
  </si>
  <si>
    <t>(JMD)                    Jamaican Dollar</t>
  </si>
  <si>
    <t>dzd</t>
  </si>
  <si>
    <t>Japanese Yen</t>
  </si>
  <si>
    <t>JPY</t>
  </si>
  <si>
    <t>(JPY)                    Japanese Yen</t>
  </si>
  <si>
    <t>eek</t>
  </si>
  <si>
    <t>Jersey Pound</t>
  </si>
  <si>
    <t>JEP</t>
  </si>
  <si>
    <t>(JEP)                    Jersey Pound</t>
  </si>
  <si>
    <t>egld</t>
  </si>
  <si>
    <t>Jordanian Dinar</t>
  </si>
  <si>
    <t>JOD</t>
  </si>
  <si>
    <t>د.ا</t>
  </si>
  <si>
    <t>(JOD)                    Jordanian Dinar</t>
  </si>
  <si>
    <t>egp</t>
  </si>
  <si>
    <t>Kazakhstani Tenge</t>
  </si>
  <si>
    <t>KZT</t>
  </si>
  <si>
    <t>₸</t>
  </si>
  <si>
    <t>(KZT)                    Kazakhstani Tenge</t>
  </si>
  <si>
    <t>enj</t>
  </si>
  <si>
    <t>Kenyan Shilling</t>
  </si>
  <si>
    <t>KES</t>
  </si>
  <si>
    <t>KSh</t>
  </si>
  <si>
    <t>(KES)                    Kenyan Shilling</t>
  </si>
  <si>
    <t>Group:</t>
  </si>
  <si>
    <t>eos</t>
  </si>
  <si>
    <t>Kyrgyzstani Som</t>
  </si>
  <si>
    <t>KGS</t>
  </si>
  <si>
    <t>с</t>
  </si>
  <si>
    <t>(KGS)                    Kyrgyzstani Som</t>
  </si>
  <si>
    <t>ern</t>
  </si>
  <si>
    <t>Lao Kip</t>
  </si>
  <si>
    <t>LAK</t>
  </si>
  <si>
    <t>₭</t>
  </si>
  <si>
    <t>(LAK)                    Lao Kip</t>
  </si>
  <si>
    <t>esp</t>
  </si>
  <si>
    <t>Latvian Lat</t>
  </si>
  <si>
    <t>LVL</t>
  </si>
  <si>
    <t>Ls</t>
  </si>
  <si>
    <t>(LVL)                    Latvian Lat</t>
  </si>
  <si>
    <t>etb</t>
  </si>
  <si>
    <t>Lebanese Pound</t>
  </si>
  <si>
    <t>LBP</t>
  </si>
  <si>
    <t>(LBP)                    Lebanese Pound</t>
  </si>
  <si>
    <t>Disclaimer</t>
  </si>
  <si>
    <t>etc</t>
  </si>
  <si>
    <t>Liberian Dollar</t>
  </si>
  <si>
    <t>LRD</t>
  </si>
  <si>
    <t>(LRD)                    Liberian Dollar</t>
  </si>
  <si>
    <t>eth</t>
  </si>
  <si>
    <t>Libyan Dinar</t>
  </si>
  <si>
    <t>LYD</t>
  </si>
  <si>
    <t>ل.د</t>
  </si>
  <si>
    <t>(LYD)                    Libyan Dinar</t>
  </si>
  <si>
    <t>eur</t>
  </si>
  <si>
    <t>Litecoin</t>
  </si>
  <si>
    <t>LTC</t>
  </si>
  <si>
    <t>Ł</t>
  </si>
  <si>
    <t>(LTC)                    Litecoin</t>
  </si>
  <si>
    <t>eurc</t>
  </si>
  <si>
    <t>Lithuanian Litas</t>
  </si>
  <si>
    <t>LTL</t>
  </si>
  <si>
    <t>Lt</t>
  </si>
  <si>
    <t>(LTL)                    Lithuanian Litas</t>
  </si>
  <si>
    <t>fei</t>
  </si>
  <si>
    <t>Macau Pataca</t>
  </si>
  <si>
    <t>MOP</t>
  </si>
  <si>
    <t>(MOP)                    Macau Pataca</t>
  </si>
  <si>
    <t>fil</t>
  </si>
  <si>
    <t>Macedonian Denar</t>
  </si>
  <si>
    <t>MKD</t>
  </si>
  <si>
    <t>ден</t>
  </si>
  <si>
    <t>(MKD)                    Macedonian Denar</t>
  </si>
  <si>
    <t>fim</t>
  </si>
  <si>
    <t>Malagasy Ariary</t>
  </si>
  <si>
    <t>MGA</t>
  </si>
  <si>
    <t>Ar</t>
  </si>
  <si>
    <t>(MGA)                    Malagasy Ariary</t>
  </si>
  <si>
    <t>fjd</t>
  </si>
  <si>
    <t>Malawian Kwacha</t>
  </si>
  <si>
    <t>MWK</t>
  </si>
  <si>
    <t>MK</t>
  </si>
  <si>
    <t>(MWK)                    Malawian Kwacha</t>
  </si>
  <si>
    <t>fkp</t>
  </si>
  <si>
    <t>Malaysian Ringgit</t>
  </si>
  <si>
    <t>MYR</t>
  </si>
  <si>
    <t>RM</t>
  </si>
  <si>
    <t>(MYR)                    Malaysian Ringgit</t>
  </si>
  <si>
    <t>flow</t>
  </si>
  <si>
    <t>Maldivian Rufiyaa</t>
  </si>
  <si>
    <t>MVR</t>
  </si>
  <si>
    <t>Rf</t>
  </si>
  <si>
    <t>(MVR)                    Maldivian Rufiyaa</t>
  </si>
  <si>
    <t>flr</t>
  </si>
  <si>
    <t>Mauritanian Ouguiya</t>
  </si>
  <si>
    <t>MRU</t>
  </si>
  <si>
    <t>UM</t>
  </si>
  <si>
    <t>(MRU)                    Mauritanian Ouguiya</t>
  </si>
  <si>
    <t>frax</t>
  </si>
  <si>
    <t>Mauritian Rupee</t>
  </si>
  <si>
    <t>MUR</t>
  </si>
  <si>
    <t>₨</t>
  </si>
  <si>
    <t>(MUR)                    Mauritian Rupee</t>
  </si>
  <si>
    <t xml:space="preserve">
Item</t>
  </si>
  <si>
    <t>frf</t>
  </si>
  <si>
    <t xml:space="preserve">
Amount</t>
  </si>
  <si>
    <t>Mexican Peso</t>
  </si>
  <si>
    <t>MXN</t>
  </si>
  <si>
    <t>(MXN)                    Mexican Peso</t>
  </si>
  <si>
    <t>ftt</t>
  </si>
  <si>
    <t>Unit Paid</t>
  </si>
  <si>
    <t>Moldovan Leu</t>
  </si>
  <si>
    <t>MDL</t>
  </si>
  <si>
    <t>(MDL)                    Moldovan Leu</t>
  </si>
  <si>
    <t>Unit Cost</t>
  </si>
  <si>
    <t>gala</t>
  </si>
  <si>
    <t>Pay Units</t>
  </si>
  <si>
    <t>Monero</t>
  </si>
  <si>
    <t>XMR</t>
  </si>
  <si>
    <t>ɱ</t>
  </si>
  <si>
    <t>Cost Units</t>
  </si>
  <si>
    <t>(XMR)                    Monero</t>
  </si>
  <si>
    <t>gbp</t>
  </si>
  <si>
    <t>Mongolian Tughrik</t>
  </si>
  <si>
    <t>MNT</t>
  </si>
  <si>
    <t>₮</t>
  </si>
  <si>
    <t>(MNT)                    Mongolian Tughrik</t>
  </si>
  <si>
    <t>gel</t>
  </si>
  <si>
    <t>Moroccan Dirham</t>
  </si>
  <si>
    <t>MAD</t>
  </si>
  <si>
    <t>د.م.</t>
  </si>
  <si>
    <t>(MAD)                    Moroccan Dirham</t>
  </si>
  <si>
    <t>ggp</t>
  </si>
  <si>
    <t>Mozambican Metical</t>
  </si>
  <si>
    <t>MZN</t>
  </si>
  <si>
    <t>MT</t>
  </si>
  <si>
    <t>(MZN)                    Mozambican Metical</t>
  </si>
  <si>
    <t>ghc</t>
  </si>
  <si>
    <t>Namibian Dollar</t>
  </si>
  <si>
    <t>NAD</t>
  </si>
  <si>
    <t>(NAD)                    Namibian Dollar</t>
  </si>
  <si>
    <t>ghs</t>
  </si>
  <si>
    <t>Nepalese Rupee</t>
  </si>
  <si>
    <t>NPR</t>
  </si>
  <si>
    <t>(NPR)                    Nepalese Rupee</t>
  </si>
  <si>
    <t>gip</t>
  </si>
  <si>
    <t>New Zealand Dollar</t>
  </si>
  <si>
    <t>NZD</t>
  </si>
  <si>
    <t>(NZD)                    New Zealand Dollar</t>
  </si>
  <si>
    <t>gmd</t>
  </si>
  <si>
    <t>Ni-Vanuatu Vatu</t>
  </si>
  <si>
    <t>VUV</t>
  </si>
  <si>
    <t>Vt</t>
  </si>
  <si>
    <t>(VUV)                    Ni-Vanuatu Vatu</t>
  </si>
  <si>
    <t>ref split vals</t>
  </si>
  <si>
    <t>gmx</t>
  </si>
  <si>
    <t>Nicaraguan Cordoba</t>
  </si>
  <si>
    <t>NIO</t>
  </si>
  <si>
    <t>C$</t>
  </si>
  <si>
    <t>(NIO)                    Nicaraguan Cordoba</t>
  </si>
  <si>
    <t>gnf</t>
  </si>
  <si>
    <t>Nigerian Naira</t>
  </si>
  <si>
    <t>NGN</t>
  </si>
  <si>
    <t>₦</t>
  </si>
  <si>
    <t>(NGN)                    Nigerian Naira</t>
  </si>
  <si>
    <t>gno</t>
  </si>
  <si>
    <t>North Korean Won</t>
  </si>
  <si>
    <t>KPW</t>
  </si>
  <si>
    <t>₩</t>
  </si>
  <si>
    <t>(KPW)                    North Korean Won</t>
  </si>
  <si>
    <t>grd</t>
  </si>
  <si>
    <t>Norwegian Krone</t>
  </si>
  <si>
    <t>NOK</t>
  </si>
  <si>
    <t>(NOK)                    Norwegian Krone</t>
  </si>
  <si>
    <t>grt</t>
  </si>
  <si>
    <t>Omani Rial</t>
  </si>
  <si>
    <t>OMR</t>
  </si>
  <si>
    <t>(OMR)                    Omani Rial</t>
  </si>
  <si>
    <t>gt</t>
  </si>
  <si>
    <t>Pakistani Rupee</t>
  </si>
  <si>
    <t>PKR</t>
  </si>
  <si>
    <t>(PKR)                    Pakistani Rupee</t>
  </si>
  <si>
    <t>gtq</t>
  </si>
  <si>
    <t>Panamanian Balboa</t>
  </si>
  <si>
    <t>PAB</t>
  </si>
  <si>
    <t>B/.</t>
  </si>
  <si>
    <t>(PAB)                    Panamanian Balboa</t>
  </si>
  <si>
    <t>gusd</t>
  </si>
  <si>
    <t>Papua New Guinean Kina</t>
  </si>
  <si>
    <t>PGK</t>
  </si>
  <si>
    <t>(PGK)                    Papua New Guinean Kina</t>
  </si>
  <si>
    <t>gyd</t>
  </si>
  <si>
    <t>Paraguayan Guarani</t>
  </si>
  <si>
    <t>PYG</t>
  </si>
  <si>
    <t>₲</t>
  </si>
  <si>
    <t>(PYG)                    Paraguayan Guarani</t>
  </si>
  <si>
    <t>hbar</t>
  </si>
  <si>
    <t>Philippine Peso</t>
  </si>
  <si>
    <t>PHP</t>
  </si>
  <si>
    <t>(PHP)                    Philippine Peso</t>
  </si>
  <si>
    <t>hkd</t>
  </si>
  <si>
    <t>Polish Zloty</t>
  </si>
  <si>
    <t>PLN</t>
  </si>
  <si>
    <t>zł</t>
  </si>
  <si>
    <t>(PLN)                    Polish Zloty</t>
  </si>
  <si>
    <t>hnl</t>
  </si>
  <si>
    <t>Polkadot</t>
  </si>
  <si>
    <t>DOT</t>
  </si>
  <si>
    <t>●</t>
  </si>
  <si>
    <t>(DOT)                    Polkadot</t>
  </si>
  <si>
    <t>hnt</t>
  </si>
  <si>
    <t>Qatari Riyal</t>
  </si>
  <si>
    <t>QAR</t>
  </si>
  <si>
    <t>(QAR)                    Qatari Riyal</t>
  </si>
  <si>
    <t>hot</t>
  </si>
  <si>
    <t>Ripple</t>
  </si>
  <si>
    <t>XRP</t>
  </si>
  <si>
    <t>(XRP)                    Ripple</t>
  </si>
  <si>
    <t>hrk</t>
  </si>
  <si>
    <t>Romanian Leu</t>
  </si>
  <si>
    <t>RON</t>
  </si>
  <si>
    <t>lei</t>
  </si>
  <si>
    <t>(RON)                    Romanian Leu</t>
  </si>
  <si>
    <t>ht</t>
  </si>
  <si>
    <t>Russian Ruble</t>
  </si>
  <si>
    <t>RUB</t>
  </si>
  <si>
    <t>₽</t>
  </si>
  <si>
    <t>(RUB)                    Russian Ruble</t>
  </si>
  <si>
    <t>htg</t>
  </si>
  <si>
    <t>Rwandan Franc</t>
  </si>
  <si>
    <t>RWF</t>
  </si>
  <si>
    <t>FRw</t>
  </si>
  <si>
    <t>(RWF)                    Rwandan Franc</t>
  </si>
  <si>
    <t>huf</t>
  </si>
  <si>
    <t>Saint Helenian Pound</t>
  </si>
  <si>
    <t>SHP</t>
  </si>
  <si>
    <t>(SHP)                    Saint Helenian Pound</t>
  </si>
  <si>
    <t>icp</t>
  </si>
  <si>
    <t>Salvadoran Colon</t>
  </si>
  <si>
    <t>SVC</t>
  </si>
  <si>
    <t>(SVC)                    Salvadoran Colon</t>
  </si>
  <si>
    <t>idr</t>
  </si>
  <si>
    <t>Samoan Tala</t>
  </si>
  <si>
    <t>WST</t>
  </si>
  <si>
    <t>T</t>
  </si>
  <si>
    <t>(WST)                    Samoan Tala</t>
  </si>
  <si>
    <t>iep</t>
  </si>
  <si>
    <t>Sao Tomean Dobra</t>
  </si>
  <si>
    <t>STD</t>
  </si>
  <si>
    <t>Db</t>
  </si>
  <si>
    <t>(STD)                    Sao Tomean Dobra</t>
  </si>
  <si>
    <t>ils</t>
  </si>
  <si>
    <t>STN</t>
  </si>
  <si>
    <t>(STN)                    Sao Tomean Dobra</t>
  </si>
  <si>
    <t>imp</t>
  </si>
  <si>
    <t>Saudi Arabian Riyal</t>
  </si>
  <si>
    <t>SAR</t>
  </si>
  <si>
    <t>(SAR)                    Saudi Arabian Riyal</t>
  </si>
  <si>
    <t>imx</t>
  </si>
  <si>
    <t>Serbian Dinar</t>
  </si>
  <si>
    <t>RSD</t>
  </si>
  <si>
    <t>дин.</t>
  </si>
  <si>
    <t>(RSD)                    Serbian Dinar</t>
  </si>
  <si>
    <t>inj</t>
  </si>
  <si>
    <t>Seychellois Rupee</t>
  </si>
  <si>
    <t>SCR</t>
  </si>
  <si>
    <t>(SCR)                    Seychellois Rupee</t>
  </si>
  <si>
    <t>inr</t>
  </si>
  <si>
    <t>Sierra Leonean Leone</t>
  </si>
  <si>
    <t>SLE</t>
  </si>
  <si>
    <t>Le</t>
  </si>
  <si>
    <t>(SLE)                    Sierra Leonean Leone</t>
  </si>
  <si>
    <t>iqd</t>
  </si>
  <si>
    <t>SLL</t>
  </si>
  <si>
    <t>(SLL)                    Sierra Leonean Leone</t>
  </si>
  <si>
    <t>irr</t>
  </si>
  <si>
    <t>Silver Ounce</t>
  </si>
  <si>
    <t>XAG</t>
  </si>
  <si>
    <t>Ag</t>
  </si>
  <si>
    <t>(XAG)                    Silver Ounce</t>
  </si>
  <si>
    <t>isk</t>
  </si>
  <si>
    <t>Singapore Dollar</t>
  </si>
  <si>
    <t>SGD</t>
  </si>
  <si>
    <t>(SGD)                    Singapore Dollar</t>
  </si>
  <si>
    <t>itl</t>
  </si>
  <si>
    <t>Solana</t>
  </si>
  <si>
    <t>SOL</t>
  </si>
  <si>
    <t>◎</t>
  </si>
  <si>
    <t>(SOL)                    Solana</t>
  </si>
  <si>
    <t>jep</t>
  </si>
  <si>
    <t>Somali Shilling</t>
  </si>
  <si>
    <t>SOS</t>
  </si>
  <si>
    <t>Sh</t>
  </si>
  <si>
    <t>(SOS)                    Somali Shilling</t>
  </si>
  <si>
    <t>jmd</t>
  </si>
  <si>
    <t>South African Rand</t>
  </si>
  <si>
    <t>ZAR</t>
  </si>
  <si>
    <t>R</t>
  </si>
  <si>
    <t>(ZAR)                    South African Rand</t>
  </si>
  <si>
    <t>jod</t>
  </si>
  <si>
    <t>South Korean Won</t>
  </si>
  <si>
    <t>KRW</t>
  </si>
  <si>
    <t>(KRW)                    South Korean Won</t>
  </si>
  <si>
    <t>jpy</t>
  </si>
  <si>
    <t>Sri Lankan Rupee</t>
  </si>
  <si>
    <t>LKR</t>
  </si>
  <si>
    <t>(LKR)                    Sri Lankan Rupee</t>
  </si>
  <si>
    <t>kas</t>
  </si>
  <si>
    <t>Stellar Lumen</t>
  </si>
  <si>
    <t>XLM</t>
  </si>
  <si>
    <t>(XLM)                    Stellar Lumen</t>
  </si>
  <si>
    <t>kava</t>
  </si>
  <si>
    <t>Sudanese Pound</t>
  </si>
  <si>
    <t>SDG</t>
  </si>
  <si>
    <t>(SDG)                    Sudanese Pound</t>
  </si>
  <si>
    <t>kcs</t>
  </si>
  <si>
    <t>Surinamese Dollar</t>
  </si>
  <si>
    <t>SRD</t>
  </si>
  <si>
    <t>(SRD)                    Surinamese Dollar</t>
  </si>
  <si>
    <t>kda</t>
  </si>
  <si>
    <t>Swazi Lilangeni</t>
  </si>
  <si>
    <t>SZL</t>
  </si>
  <si>
    <t>E</t>
  </si>
  <si>
    <t>(SZL)                    Swazi Lilangeni</t>
  </si>
  <si>
    <t>kes</t>
  </si>
  <si>
    <t>Swedish Krona</t>
  </si>
  <si>
    <t>SEK</t>
  </si>
  <si>
    <t>(SEK)                    Swedish Krona</t>
  </si>
  <si>
    <t>kgs</t>
  </si>
  <si>
    <t>Swiss Franc</t>
  </si>
  <si>
    <t>CHF</t>
  </si>
  <si>
    <t>(CHF)                    Swiss Franc</t>
  </si>
  <si>
    <t>khr</t>
  </si>
  <si>
    <t>Syrian Pound</t>
  </si>
  <si>
    <t>SYP</t>
  </si>
  <si>
    <t>(SYP)                    Syrian Pound</t>
  </si>
  <si>
    <t>klay</t>
  </si>
  <si>
    <t>Taiwan New Dollar</t>
  </si>
  <si>
    <t>TWD</t>
  </si>
  <si>
    <t>(TWD)                    Taiwan New Dollar</t>
  </si>
  <si>
    <t>kmf</t>
  </si>
  <si>
    <t>Tajikistani Somoni</t>
  </si>
  <si>
    <t>TJS</t>
  </si>
  <si>
    <t>ЅМ</t>
  </si>
  <si>
    <t>(TJS)                    Tajikistani Somoni</t>
  </si>
  <si>
    <t>knc</t>
  </si>
  <si>
    <t>Tanzanian Shilling</t>
  </si>
  <si>
    <t>TZS</t>
  </si>
  <si>
    <t>TSh</t>
  </si>
  <si>
    <t>(TZS)                    Tanzanian Shilling</t>
  </si>
  <si>
    <t>krw</t>
  </si>
  <si>
    <t>Tether</t>
  </si>
  <si>
    <t>USDT</t>
  </si>
  <si>
    <t>(USDT)                    Tether</t>
  </si>
  <si>
    <t>ksm</t>
  </si>
  <si>
    <t>Tether Gold</t>
  </si>
  <si>
    <t>XAUT</t>
  </si>
  <si>
    <t>Au₮</t>
  </si>
  <si>
    <t>(XAUT)                    Tether Gold</t>
  </si>
  <si>
    <t>kwd</t>
  </si>
  <si>
    <t>Thai Baht</t>
  </si>
  <si>
    <t>THB</t>
  </si>
  <si>
    <t>฿</t>
  </si>
  <si>
    <t>(THB)                    Thai Baht</t>
  </si>
  <si>
    <t>kyd</t>
  </si>
  <si>
    <t>Tongan Pa'anga</t>
  </si>
  <si>
    <t>TOP</t>
  </si>
  <si>
    <t>T$</t>
  </si>
  <si>
    <t>(TOP)                    Tongan Pa'anga</t>
  </si>
  <si>
    <t>kzt</t>
  </si>
  <si>
    <t>Trinidadian Dollar</t>
  </si>
  <si>
    <t>TTD</t>
  </si>
  <si>
    <t>TT$</t>
  </si>
  <si>
    <t>(TTD)                    Trinidadian Dollar</t>
  </si>
  <si>
    <t>lak</t>
  </si>
  <si>
    <t>Tunisian Dinar</t>
  </si>
  <si>
    <t>TND</t>
  </si>
  <si>
    <t>د.ت</t>
  </si>
  <si>
    <t>(TND)                    Tunisian Dinar</t>
  </si>
  <si>
    <t>lbp</t>
  </si>
  <si>
    <t>Turkish Lira</t>
  </si>
  <si>
    <t>TRY</t>
  </si>
  <si>
    <t>₺</t>
  </si>
  <si>
    <t>(TRY)                    Turkish Lira</t>
  </si>
  <si>
    <t>ldo</t>
  </si>
  <si>
    <t>Turkmenistani Manat</t>
  </si>
  <si>
    <t>TMT</t>
  </si>
  <si>
    <t>m</t>
  </si>
  <si>
    <t>(TMT)                    Turkmenistani Manat</t>
  </si>
  <si>
    <t>leo</t>
  </si>
  <si>
    <t>Ugandan Shilling</t>
  </si>
  <si>
    <t>UGX</t>
  </si>
  <si>
    <t>USh</t>
  </si>
  <si>
    <t>(UGX)                    Ugandan Shilling</t>
  </si>
  <si>
    <t>link</t>
  </si>
  <si>
    <t>Ukrainian Hryvnia</t>
  </si>
  <si>
    <t>UAH</t>
  </si>
  <si>
    <t>₴</t>
  </si>
  <si>
    <t>(UAH)                    Ukrainian Hryvnia</t>
  </si>
  <si>
    <t>lkr</t>
  </si>
  <si>
    <t>Uniswap</t>
  </si>
  <si>
    <t>UNI</t>
  </si>
  <si>
    <t>(UNI)                    Uniswap</t>
  </si>
  <si>
    <t>lrc</t>
  </si>
  <si>
    <t>Uruguayan Peso</t>
  </si>
  <si>
    <t>UYU</t>
  </si>
  <si>
    <t>$U</t>
  </si>
  <si>
    <t>(UYU)                    Uruguayan Peso</t>
  </si>
  <si>
    <t>lrd</t>
  </si>
  <si>
    <t>USDC</t>
  </si>
  <si>
    <t>(USDC)                    USDC</t>
  </si>
  <si>
    <t>lsl</t>
  </si>
  <si>
    <t>USDP Stablecoin</t>
  </si>
  <si>
    <t>USDP</t>
  </si>
  <si>
    <t>(USDP)                    USDP Stablecoin</t>
  </si>
  <si>
    <t>ltc</t>
  </si>
  <si>
    <t>Uzbekistani Som</t>
  </si>
  <si>
    <t>UZS</t>
  </si>
  <si>
    <t>so'm</t>
  </si>
  <si>
    <t>(UZS)                    Uzbekistani Som</t>
  </si>
  <si>
    <t>ltl</t>
  </si>
  <si>
    <t>Venezuelan Bolívar</t>
  </si>
  <si>
    <t>VES</t>
  </si>
  <si>
    <t>(VES)                    Venezuelan Bolívar</t>
  </si>
  <si>
    <t>luf</t>
  </si>
  <si>
    <t>Vietnamese Dong</t>
  </si>
  <si>
    <t>VND</t>
  </si>
  <si>
    <t>₫</t>
  </si>
  <si>
    <t>(VND)                    Vietnamese Dong</t>
  </si>
  <si>
    <t>luna</t>
  </si>
  <si>
    <t>Yemeni Rial</t>
  </si>
  <si>
    <t>YER</t>
  </si>
  <si>
    <t>(YER)                    Yemeni Rial</t>
  </si>
  <si>
    <t>lunc</t>
  </si>
  <si>
    <t>Zambian Kwacha</t>
  </si>
  <si>
    <t>ZMK</t>
  </si>
  <si>
    <t>ZK</t>
  </si>
  <si>
    <t>(ZMK)                    Zambian Kwacha</t>
  </si>
  <si>
    <t>lvl</t>
  </si>
  <si>
    <t>ZMW</t>
  </si>
  <si>
    <t>(ZMW)                    Zambian Kwacha</t>
  </si>
  <si>
    <t>lyd</t>
  </si>
  <si>
    <t>Zimbabwean Dollar</t>
  </si>
  <si>
    <t>ZWL</t>
  </si>
  <si>
    <t>Z$</t>
  </si>
  <si>
    <t>(ZWL)                    Zimbabwean Dollar</t>
  </si>
  <si>
    <t>mad</t>
  </si>
  <si>
    <t xml:space="preserve">()                    </t>
  </si>
  <si>
    <t>mana</t>
  </si>
  <si>
    <t>mbx</t>
  </si>
  <si>
    <t>mdl</t>
  </si>
  <si>
    <t>mga</t>
  </si>
  <si>
    <t>mgf</t>
  </si>
  <si>
    <t>mina</t>
  </si>
  <si>
    <t>mkd</t>
  </si>
  <si>
    <t>mkr</t>
  </si>
  <si>
    <t>mmk</t>
  </si>
  <si>
    <t>mnt</t>
  </si>
  <si>
    <t>mop</t>
  </si>
  <si>
    <t>mro</t>
  </si>
  <si>
    <t>mru</t>
  </si>
  <si>
    <t>mtl</t>
  </si>
  <si>
    <t>mur</t>
  </si>
  <si>
    <t>mvr</t>
  </si>
  <si>
    <t>mwk</t>
  </si>
  <si>
    <t>mxn</t>
  </si>
  <si>
    <t>mxv</t>
  </si>
  <si>
    <t>myr</t>
  </si>
  <si>
    <t>mzm</t>
  </si>
  <si>
    <t>mzn</t>
  </si>
  <si>
    <t>nad</t>
  </si>
  <si>
    <t>near</t>
  </si>
  <si>
    <t>neo</t>
  </si>
  <si>
    <t>nexo</t>
  </si>
  <si>
    <t>nft</t>
  </si>
  <si>
    <t>ngn</t>
  </si>
  <si>
    <t>nio</t>
  </si>
  <si>
    <t>nlg</t>
  </si>
  <si>
    <t>nok</t>
  </si>
  <si>
    <t>npr</t>
  </si>
  <si>
    <t>nzd</t>
  </si>
  <si>
    <t>okb</t>
  </si>
  <si>
    <t>omr</t>
  </si>
  <si>
    <t>one</t>
  </si>
  <si>
    <t>op</t>
  </si>
  <si>
    <t>ordi</t>
  </si>
  <si>
    <t>pab</t>
  </si>
  <si>
    <t>paxg</t>
  </si>
  <si>
    <t>pen</t>
  </si>
  <si>
    <t>pepe</t>
  </si>
  <si>
    <t>pgk</t>
  </si>
  <si>
    <t>php</t>
  </si>
  <si>
    <t>pi</t>
  </si>
  <si>
    <t>pkr</t>
  </si>
  <si>
    <t>pln</t>
  </si>
  <si>
    <t>pol</t>
  </si>
  <si>
    <t>pte</t>
  </si>
  <si>
    <t>pyg</t>
  </si>
  <si>
    <t>qar</t>
  </si>
  <si>
    <t>qnt</t>
  </si>
  <si>
    <t>qtum</t>
  </si>
  <si>
    <t>rol</t>
  </si>
  <si>
    <t>ron</t>
  </si>
  <si>
    <t>rpl</t>
  </si>
  <si>
    <t>rsd</t>
  </si>
  <si>
    <t>rub</t>
  </si>
  <si>
    <t>rune</t>
  </si>
  <si>
    <t>rvn</t>
  </si>
  <si>
    <t>rwf</t>
  </si>
  <si>
    <t>sand</t>
  </si>
  <si>
    <t>sar</t>
  </si>
  <si>
    <t>sbd</t>
  </si>
  <si>
    <t>scr</t>
  </si>
  <si>
    <t>sdd</t>
  </si>
  <si>
    <t>sdg</t>
  </si>
  <si>
    <t>sek</t>
  </si>
  <si>
    <t>sgd</t>
  </si>
  <si>
    <t>shib</t>
  </si>
  <si>
    <t>shp</t>
  </si>
  <si>
    <t>sit</t>
  </si>
  <si>
    <t>skk</t>
  </si>
  <si>
    <t>sle</t>
  </si>
  <si>
    <t>sll</t>
  </si>
  <si>
    <t>snx</t>
  </si>
  <si>
    <t>sol</t>
  </si>
  <si>
    <t>sos</t>
  </si>
  <si>
    <t>spl</t>
  </si>
  <si>
    <t>srd</t>
  </si>
  <si>
    <t>srg</t>
  </si>
  <si>
    <t>ssp</t>
  </si>
  <si>
    <t>std</t>
  </si>
  <si>
    <t>stn</t>
  </si>
  <si>
    <t>stx</t>
  </si>
  <si>
    <t>sui</t>
  </si>
  <si>
    <t>svc</t>
  </si>
  <si>
    <t>szl</t>
  </si>
  <si>
    <t>thb</t>
  </si>
  <si>
    <t>theta</t>
  </si>
  <si>
    <t>tjs</t>
  </si>
  <si>
    <t>tmm</t>
  </si>
  <si>
    <t>tmt</t>
  </si>
  <si>
    <t>tnd</t>
  </si>
  <si>
    <t>top</t>
  </si>
  <si>
    <t>trl</t>
  </si>
  <si>
    <t>trx</t>
  </si>
  <si>
    <t>try</t>
  </si>
  <si>
    <t>ttd</t>
  </si>
  <si>
    <t>tusd</t>
  </si>
  <si>
    <t>tvd</t>
  </si>
  <si>
    <t>twd</t>
  </si>
  <si>
    <t>twt</t>
  </si>
  <si>
    <t>tzs</t>
  </si>
  <si>
    <t>uah</t>
  </si>
  <si>
    <t>ugx</t>
  </si>
  <si>
    <t>uni</t>
  </si>
  <si>
    <t>usd</t>
  </si>
  <si>
    <t>usdc</t>
  </si>
  <si>
    <t>usdd</t>
  </si>
  <si>
    <t>usdp</t>
  </si>
  <si>
    <t>usdt</t>
  </si>
  <si>
    <t>uyu</t>
  </si>
  <si>
    <t>uzs</t>
  </si>
  <si>
    <t>val</t>
  </si>
  <si>
    <t>veb</t>
  </si>
  <si>
    <t>ved</t>
  </si>
  <si>
    <t>vef</t>
  </si>
  <si>
    <t>ves</t>
  </si>
  <si>
    <t>vet</t>
  </si>
  <si>
    <t>vnd</t>
  </si>
  <si>
    <t>vuv</t>
  </si>
  <si>
    <t>waves</t>
  </si>
  <si>
    <t>wemix</t>
  </si>
  <si>
    <t>woo</t>
  </si>
  <si>
    <t>wst</t>
  </si>
  <si>
    <t>xaf</t>
  </si>
  <si>
    <t>xag</t>
  </si>
  <si>
    <t>xau</t>
  </si>
  <si>
    <t>xaut</t>
  </si>
  <si>
    <t>xbt</t>
  </si>
  <si>
    <t>xcd</t>
  </si>
  <si>
    <t>xcg</t>
  </si>
  <si>
    <t>xch</t>
  </si>
  <si>
    <t>xdc</t>
  </si>
  <si>
    <t>xdr</t>
  </si>
  <si>
    <t>xec</t>
  </si>
  <si>
    <t>xem</t>
  </si>
  <si>
    <t>xlm</t>
  </si>
  <si>
    <t>xmr</t>
  </si>
  <si>
    <t>xof</t>
  </si>
  <si>
    <t>xpd</t>
  </si>
  <si>
    <t>xpf</t>
  </si>
  <si>
    <t>xpt</t>
  </si>
  <si>
    <t>xrp</t>
  </si>
  <si>
    <t>xtz</t>
  </si>
  <si>
    <t>yer</t>
  </si>
  <si>
    <t>zar</t>
  </si>
  <si>
    <t>zec</t>
  </si>
  <si>
    <t>zil</t>
  </si>
  <si>
    <t>zmk</t>
  </si>
  <si>
    <t>zmw</t>
  </si>
  <si>
    <t>zwd</t>
  </si>
  <si>
    <t>zwg</t>
  </si>
  <si>
    <t>zwl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</si>
</sst>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&quot; Total:&quot;* &quot;$&quot;#,##0.00;"/>
    <numFmt numFmtId="165" formatCode="&quot;  Total:&quot;* &quot;$&quot;#,##0.00   ;"/>
    <numFmt numFmtId="166" formatCode="#,##0.00;(#,##0.00)"/>
    <numFmt numFmtId="167" formatCode="&quot;$&quot;#,##0.00"/>
    <numFmt numFmtId="168" formatCode="&quot;$&quot;* #,##0.00 ;_(&quot;$&quot;* (#,##0.00);&quot;$&quot;* 0.00 ;_(@_)"/>
    <numFmt numFmtId="169" formatCode="[=1]&quot;🔄 ⁄ ᵈᵃʸ&quot;* &quot;Exchange Rate:&quot;;[=2]&quot;📌 &quot;* &quot;Exchange Rate:&quot;;;"/>
    <numFmt numFmtId="170" formatCode="#,##0.00###"/>
    <numFmt numFmtId="171" formatCode="#,##0.0000"/>
    <numFmt numFmtId="172" formatCode="#,##0.000;(#,##0.000)"/>
    <numFmt numFmtId="173" formatCode="_(&quot;$&quot;* #,##0.00_);_(&quot;$&quot;* \(#,##0.00\);_(&quot;$&quot;* &quot;-&quot;??_);_(@_)"/>
    <numFmt numFmtId="174" formatCode="&quot;$&quot;* #,##0.00;_(&quot;$&quot;* (#,##0.00);&quot;$&quot;* 0.00 ;_(@_)"/>
  </numFmts>
  <fonts count="49">
    <font>
      <sz val="10.0"/>
      <color rgb="FF000000"/>
      <name val="Arial"/>
    </font>
    <font>
      <b/>
      <sz val="12.0"/>
      <color rgb="FFFFFFFF"/>
      <name val="Funnel Display"/>
    </font>
    <font>
      <b/>
      <sz val="14.0"/>
    </font>
    <font>
      <b/>
      <sz val="10.0"/>
      <color rgb="FF666666"/>
      <name val="Funnel Display"/>
    </font>
    <font/>
    <font>
      <b/>
      <sz val="14.0"/>
      <name val="Funnel Display"/>
    </font>
    <font>
      <b/>
      <u/>
      <sz val="8.0"/>
      <color rgb="FFFF9900"/>
      <name val="Funnel Display"/>
    </font>
    <font>
      <b/>
      <sz val="13.0"/>
      <color rgb="FFFFFFFF"/>
      <name val="Funnel Display"/>
    </font>
    <font>
      <b/>
      <sz val="12.0"/>
      <color rgb="FF244D88"/>
      <name val="Funnel Display"/>
    </font>
    <font>
      <b/>
      <sz val="10.0"/>
      <color rgb="FF4988BF"/>
      <name val="Funnel Display"/>
    </font>
    <font>
      <sz val="5.0"/>
    </font>
    <font>
      <b/>
      <sz val="11.0"/>
      <color rgb="FF666666"/>
      <name val="Funnel Display"/>
    </font>
    <font>
      <sz val="6.0"/>
    </font>
    <font>
      <name val="Arial"/>
    </font>
    <font>
      <b/>
      <sz val="11.0"/>
      <color rgb="FF244D88"/>
      <name val="Lato"/>
    </font>
    <font>
      <sz val="10.0"/>
    </font>
    <font>
      <b/>
      <sz val="10.0"/>
      <color rgb="FF9F392B"/>
      <name val="Roboto"/>
    </font>
    <font>
      <sz val="9.0"/>
      <color rgb="FF000000"/>
      <name val="Inconsolata"/>
    </font>
    <font>
      <b/>
      <sz val="14.0"/>
      <color rgb="FF244D88"/>
      <name val="Funnel Display"/>
    </font>
    <font>
      <b/>
      <sz val="10.0"/>
      <color rgb="FF666666"/>
      <name val="Arial"/>
    </font>
    <font>
      <sz val="13.0"/>
    </font>
    <font>
      <b/>
      <sz val="14.0"/>
      <color rgb="FF244D88"/>
      <name val="Arial"/>
    </font>
    <font>
      <b/>
      <sz val="12.0"/>
      <color rgb="FF244D88"/>
      <name val="Arial"/>
    </font>
    <font>
      <b/>
      <sz val="13.0"/>
      <color rgb="FF244D88"/>
      <name val="Funnel Display"/>
    </font>
    <font>
      <b/>
      <sz val="9.0"/>
      <color rgb="FF244D88"/>
      <name val="Funnel Display"/>
    </font>
    <font>
      <b/>
      <sz val="11.0"/>
      <name val="Bree Serif"/>
    </font>
    <font>
      <b/>
      <sz val="13.0"/>
      <name val="Arial"/>
    </font>
    <font>
      <b/>
      <sz val="12.0"/>
      <name val="Arial"/>
    </font>
    <font>
      <b/>
      <sz val="12.0"/>
      <color rgb="FFFFFFFF"/>
      <name val="Arial"/>
    </font>
    <font>
      <b/>
      <sz val="14.0"/>
      <name val="Arial"/>
    </font>
    <font>
      <b/>
      <sz val="10.0"/>
      <name val="Arial"/>
    </font>
    <font>
      <b/>
      <sz val="10.0"/>
      <name val="Share Tech Mono"/>
    </font>
    <font>
      <b/>
      <sz val="8.0"/>
      <name val="Arial"/>
    </font>
    <font>
      <b/>
      <u/>
      <sz val="8.0"/>
      <color rgb="FFFF9900"/>
      <name val="Funnel Display"/>
    </font>
    <font>
      <b/>
      <sz val="12.0"/>
      <name val="Funnel Display"/>
    </font>
    <font>
      <sz val="12.0"/>
      <name val="Arial"/>
    </font>
    <font>
      <b/>
      <sz val="13.0"/>
      <name val="Funnel Display"/>
    </font>
    <font>
      <sz val="8.0"/>
      <color rgb="FFFF9900"/>
      <name val="Oswald"/>
    </font>
    <font>
      <b/>
      <color rgb="FFFFFFFF"/>
      <name val="Funnel Display"/>
    </font>
    <font>
      <b/>
      <sz val="10.0"/>
      <color rgb="FFFFFFFF"/>
      <name val="Funnel Display"/>
    </font>
    <font>
      <b/>
      <sz val="6.0"/>
      <color rgb="FFFFFFFF"/>
      <name val="Funnel Display"/>
    </font>
    <font>
      <b/>
      <sz val="9.0"/>
      <color rgb="FFFFFFFF"/>
      <name val="Funnel Display"/>
    </font>
    <font>
      <sz val="20.0"/>
      <color rgb="FFFF9900"/>
      <name val="Funnel Display"/>
    </font>
    <font>
      <b/>
      <sz val="7.0"/>
      <color rgb="FFE9F3FC"/>
      <name val="Comfortaa"/>
    </font>
    <font>
      <name val="Funnel Display"/>
    </font>
    <font>
      <b/>
      <sz val="10.0"/>
      <name val="Lato"/>
    </font>
    <font>
      <sz val="11.0"/>
      <color rgb="FF000000"/>
      <name val="Inconsolata"/>
    </font>
    <font>
      <b/>
      <sz val="13.0"/>
      <name val="Roboto"/>
    </font>
    <font>
      <b/>
      <sz val="7.0"/>
      <color rgb="FFE9F3FC"/>
      <name val="Funnel Display"/>
    </font>
  </fonts>
  <fills count="12">
    <fill>
      <patternFill patternType="none"/>
    </fill>
    <fill>
      <patternFill patternType="lightGray"/>
    </fill>
    <fill>
      <patternFill patternType="solid">
        <fgColor rgb="FF244D88"/>
        <bgColor rgb="FF244D88"/>
      </patternFill>
    </fill>
    <fill>
      <patternFill patternType="solid">
        <fgColor rgb="FFF5FCFF"/>
        <bgColor rgb="FFF5FCFF"/>
      </patternFill>
    </fill>
    <fill>
      <patternFill patternType="solid">
        <fgColor rgb="FFD8E6ED"/>
        <bgColor rgb="FFD8E6ED"/>
      </patternFill>
    </fill>
    <fill>
      <patternFill patternType="solid">
        <fgColor rgb="FFE0EBED"/>
        <bgColor rgb="FFE0EBED"/>
      </patternFill>
    </fill>
    <fill>
      <patternFill patternType="solid">
        <fgColor rgb="FFFFFFFF"/>
        <bgColor rgb="FFFFFFFF"/>
      </patternFill>
    </fill>
    <fill>
      <patternFill patternType="solid">
        <fgColor rgb="FFC9DFEA"/>
        <bgColor rgb="FFC9DFEA"/>
      </patternFill>
    </fill>
    <fill>
      <patternFill patternType="solid">
        <fgColor rgb="FFFCF5ED"/>
        <bgColor rgb="FFFCF5ED"/>
      </patternFill>
    </fill>
    <fill>
      <patternFill patternType="solid">
        <fgColor rgb="FFFFF0E1"/>
        <bgColor rgb="FFFFF0E1"/>
      </patternFill>
    </fill>
    <fill>
      <patternFill patternType="solid">
        <fgColor rgb="FF4172B4"/>
        <bgColor rgb="FF4172B4"/>
      </patternFill>
    </fill>
    <fill>
      <patternFill patternType="solid">
        <fgColor rgb="FF4988BF"/>
        <bgColor rgb="FF4988BF"/>
      </patternFill>
    </fill>
  </fills>
  <borders count="29">
    <border/>
    <border>
      <right style="thin">
        <color rgb="FFFFFFFF"/>
      </right>
      <bottom style="thin">
        <color rgb="FFFFFFFF"/>
      </bottom>
    </border>
    <border>
      <right style="medium">
        <color rgb="FFC9DFEA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right style="thin">
        <color rgb="FFC9DFEA"/>
      </right>
    </border>
    <border>
      <left style="thin">
        <color rgb="FFC9DFEA"/>
      </left>
      <right style="thin">
        <color rgb="FFC9DFEA"/>
      </right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left style="thin">
        <color rgb="FFC9DFEA"/>
      </left>
      <right style="thin">
        <color rgb="FFC9DFEA"/>
      </right>
      <bottom style="thin">
        <color rgb="FFC9DFEA"/>
      </bottom>
    </border>
    <border>
      <left style="thin">
        <color rgb="FFE0EBED"/>
      </left>
      <bottom style="thin">
        <color rgb="FFE0EBED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E0EBED"/>
      </left>
      <top style="thin">
        <color rgb="FFE0EBED"/>
      </top>
      <bottom style="thin">
        <color rgb="FFE0EBED"/>
      </bottom>
    </border>
    <border>
      <right style="medium">
        <color rgb="FF8FB0E1"/>
      </right>
    </border>
    <border>
      <left style="medium">
        <color rgb="FF8FB0E1"/>
      </left>
    </border>
    <border>
      <right style="thin">
        <color rgb="FF5B88C4"/>
      </right>
    </border>
    <border>
      <right style="thin">
        <color rgb="FF8FB0E1"/>
      </right>
    </border>
    <border>
      <left style="thin">
        <color rgb="FF8FB0E1"/>
      </left>
      <right style="thin">
        <color rgb="FF8FB0E1"/>
      </right>
      <top style="thin">
        <color rgb="FF8FB0E1"/>
      </top>
    </border>
    <border>
      <left style="thin">
        <color rgb="FF8FB0E1"/>
      </left>
      <top style="thin">
        <color rgb="FF8FB0E1"/>
      </top>
    </border>
    <border>
      <left style="thin">
        <color rgb="FF5B88C4"/>
      </left>
      <right style="thin">
        <color rgb="FF5B88C4"/>
      </right>
    </border>
    <border>
      <top style="thin">
        <color rgb="FF8FB0E1"/>
      </top>
    </border>
    <border>
      <left style="thin">
        <color rgb="FF8FB0E1"/>
      </left>
      <right style="thin">
        <color rgb="FF8FB0E1"/>
      </right>
    </border>
    <border>
      <left style="thin">
        <color rgb="FF8FB0E1"/>
      </left>
    </border>
    <border>
      <left style="thin">
        <color rgb="FFD0D6DC"/>
      </left>
      <right style="thin">
        <color rgb="FFD0D6DC"/>
      </right>
      <top style="thin">
        <color rgb="FFD0D6DC"/>
      </top>
      <bottom style="thin">
        <color rgb="FFD0D6DC"/>
      </bottom>
    </border>
    <border>
      <left style="thin">
        <color rgb="FFD0D6DC"/>
      </left>
      <right style="medium">
        <color rgb="FF244D88"/>
      </right>
      <top style="thin">
        <color rgb="FFD0D6DC"/>
      </top>
      <bottom style="thin">
        <color rgb="FFD0D6DC"/>
      </bottom>
    </border>
    <border>
      <right style="thin">
        <color rgb="FFD0D6DC"/>
      </right>
      <top style="thin">
        <color rgb="FFD0D6DC"/>
      </top>
      <bottom style="thin">
        <color rgb="FFD0D6DC"/>
      </bottom>
    </border>
    <border>
      <left style="thin">
        <color rgb="FFD0D6DC"/>
      </left>
      <right style="thin">
        <color rgb="FFD0D6DC"/>
      </right>
      <bottom style="thin">
        <color rgb="FFD0D6DC"/>
      </bottom>
    </border>
    <border>
      <top style="double">
        <color rgb="FF244D88"/>
      </top>
    </border>
  </borders>
  <cellStyleXfs count="1">
    <xf borderId="0" fillId="0" fontId="0" numFmtId="0" applyAlignment="1" applyFont="1"/>
  </cellStyleXfs>
  <cellXfs count="1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horizontal="right" readingOrder="0" vertical="center"/>
    </xf>
    <xf borderId="0" fillId="0" fontId="4" numFmtId="0" xfId="0" applyAlignment="1" applyFont="1">
      <alignment readingOrder="0"/>
    </xf>
    <xf borderId="0" fillId="3" fontId="5" numFmtId="0" xfId="0" applyAlignment="1" applyFill="1" applyFont="1">
      <alignment readingOrder="0" vertical="bottom"/>
    </xf>
    <xf borderId="0" fillId="2" fontId="6" numFmtId="49" xfId="0" applyAlignment="1" applyFont="1" applyNumberFormat="1">
      <alignment horizontal="left" readingOrder="0" shrinkToFit="0" vertical="center" wrapText="1"/>
    </xf>
    <xf borderId="0" fillId="2" fontId="7" numFmtId="49" xfId="0" applyAlignment="1" applyFont="1" applyNumberFormat="1">
      <alignment horizontal="center" readingOrder="0" shrinkToFit="0" vertical="center" wrapText="1"/>
    </xf>
    <xf borderId="0" fillId="4" fontId="8" numFmtId="164" xfId="0" applyAlignment="1" applyFill="1" applyFont="1" applyNumberFormat="1">
      <alignment horizontal="right" readingOrder="0" vertical="center"/>
    </xf>
    <xf borderId="2" fillId="4" fontId="9" numFmtId="165" xfId="0" applyAlignment="1" applyBorder="1" applyFont="1" applyNumberFormat="1">
      <alignment horizontal="left" readingOrder="0" vertical="center"/>
    </xf>
    <xf borderId="0" fillId="0" fontId="10" numFmtId="166" xfId="0" applyAlignment="1" applyFont="1" applyNumberFormat="1">
      <alignment readingOrder="0" vertical="center"/>
    </xf>
    <xf borderId="0" fillId="0" fontId="4" numFmtId="166" xfId="0" applyAlignment="1" applyFont="1" applyNumberFormat="1">
      <alignment vertical="center"/>
    </xf>
    <xf borderId="3" fillId="0" fontId="11" numFmtId="0" xfId="0" applyAlignment="1" applyBorder="1" applyFont="1">
      <alignment horizontal="right" readingOrder="0"/>
    </xf>
    <xf borderId="0" fillId="0" fontId="4" numFmtId="167" xfId="0" applyAlignment="1" applyFont="1" applyNumberFormat="1">
      <alignment vertical="center"/>
    </xf>
    <xf borderId="0" fillId="0" fontId="12" numFmtId="0" xfId="0" applyAlignment="1" applyFont="1">
      <alignment readingOrder="0" vertical="center"/>
    </xf>
    <xf borderId="4" fillId="0" fontId="3" numFmtId="167" xfId="0" applyAlignment="1" applyBorder="1" applyFont="1" applyNumberFormat="1">
      <alignment horizontal="center" readingOrder="0" shrinkToFit="0" vertical="center" wrapText="1"/>
    </xf>
    <xf borderId="0" fillId="0" fontId="4" numFmtId="0" xfId="0" applyAlignment="1" applyFont="1">
      <alignment readingOrder="0" vertical="center"/>
    </xf>
    <xf borderId="0" fillId="0" fontId="4" numFmtId="168" xfId="0" applyAlignment="1" applyFont="1" applyNumberForma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13" numFmtId="0" xfId="0" applyAlignment="1" applyFont="1">
      <alignment readingOrder="0" vertical="bottom"/>
    </xf>
    <xf borderId="0" fillId="0" fontId="13" numFmtId="0" xfId="0" applyAlignment="1" applyFont="1">
      <alignment readingOrder="0" vertical="bottom"/>
    </xf>
    <xf borderId="5" fillId="5" fontId="14" numFmtId="166" xfId="0" applyAlignment="1" applyBorder="1" applyFill="1" applyFont="1" applyNumberFormat="1">
      <alignment horizontal="center" textRotation="90" vertical="center"/>
    </xf>
    <xf borderId="0" fillId="0" fontId="15" numFmtId="167" xfId="0" applyAlignment="1" applyFont="1" applyNumberFormat="1">
      <alignment readingOrder="0"/>
    </xf>
    <xf borderId="6" fillId="5" fontId="14" numFmtId="166" xfId="0" applyAlignment="1" applyBorder="1" applyFont="1" applyNumberFormat="1">
      <alignment horizontal="center" textRotation="90" vertical="center"/>
    </xf>
    <xf borderId="0" fillId="0" fontId="2" numFmtId="167" xfId="0" applyAlignment="1" applyFont="1" applyNumberFormat="1">
      <alignment readingOrder="0"/>
    </xf>
    <xf borderId="7" fillId="0" fontId="3" numFmtId="169" xfId="0" applyAlignment="1" applyBorder="1" applyFont="1" applyNumberFormat="1">
      <alignment horizontal="right" readingOrder="0" vertical="center"/>
    </xf>
    <xf borderId="0" fillId="4" fontId="16" numFmtId="49" xfId="0" applyAlignment="1" applyFont="1" applyNumberFormat="1">
      <alignment horizontal="center" readingOrder="0" shrinkToFit="0" vertical="center" wrapText="1"/>
    </xf>
    <xf borderId="2" fillId="0" fontId="4" numFmtId="0" xfId="0" applyBorder="1" applyFont="1"/>
    <xf borderId="0" fillId="0" fontId="12" numFmtId="166" xfId="0" applyAlignment="1" applyFont="1" applyNumberFormat="1">
      <alignment readingOrder="0" vertical="center"/>
    </xf>
    <xf borderId="0" fillId="0" fontId="4" numFmtId="49" xfId="0" applyAlignment="1" applyFont="1" applyNumberFormat="1">
      <alignment readingOrder="0" vertical="center"/>
    </xf>
    <xf borderId="0" fillId="6" fontId="17" numFmtId="0" xfId="0" applyAlignment="1" applyFill="1" applyFont="1">
      <alignment readingOrder="0"/>
    </xf>
    <xf borderId="8" fillId="0" fontId="18" numFmtId="0" xfId="0" applyAlignment="1" applyBorder="1" applyFont="1">
      <alignment horizontal="right" readingOrder="0"/>
    </xf>
    <xf borderId="0" fillId="0" fontId="15" numFmtId="0" xfId="0" applyAlignment="1" applyFont="1">
      <alignment readingOrder="0" vertical="center"/>
    </xf>
    <xf borderId="0" fillId="0" fontId="4" numFmtId="0" xfId="0" applyAlignment="1" applyFont="1">
      <alignment vertical="center"/>
    </xf>
    <xf borderId="9" fillId="0" fontId="19" numFmtId="170" xfId="0" applyAlignment="1" applyBorder="1" applyFont="1" applyNumberFormat="1">
      <alignment horizontal="left" readingOrder="0" vertical="center"/>
    </xf>
    <xf borderId="0" fillId="0" fontId="20" numFmtId="0" xfId="0" applyAlignment="1" applyFont="1">
      <alignment readingOrder="0"/>
    </xf>
    <xf borderId="10" fillId="7" fontId="18" numFmtId="0" xfId="0" applyAlignment="1" applyBorder="1" applyFill="1" applyFont="1">
      <alignment horizontal="right" readingOrder="0"/>
    </xf>
    <xf borderId="6" fillId="7" fontId="21" numFmtId="167" xfId="0" applyAlignment="1" applyBorder="1" applyFont="1" applyNumberFormat="1">
      <alignment horizontal="center" readingOrder="0"/>
    </xf>
    <xf borderId="5" fillId="0" fontId="4" numFmtId="0" xfId="0" applyBorder="1" applyFont="1"/>
    <xf borderId="6" fillId="0" fontId="4" numFmtId="0" xfId="0" applyBorder="1" applyFont="1"/>
    <xf borderId="6" fillId="7" fontId="22" numFmtId="167" xfId="0" applyAlignment="1" applyBorder="1" applyFont="1" applyNumberFormat="1">
      <alignment horizontal="center" readingOrder="0"/>
    </xf>
    <xf borderId="0" fillId="0" fontId="4" numFmtId="0" xfId="0" applyAlignment="1" applyFont="1">
      <alignment shrinkToFit="0" vertical="center" wrapText="0"/>
    </xf>
    <xf borderId="11" fillId="5" fontId="23" numFmtId="0" xfId="0" applyAlignment="1" applyBorder="1" applyFont="1">
      <alignment horizontal="right" readingOrder="0" vertical="center"/>
    </xf>
    <xf borderId="0" fillId="3" fontId="24" numFmtId="0" xfId="0" applyAlignment="1" applyFont="1">
      <alignment horizontal="left" readingOrder="0" shrinkToFit="0" vertical="center" wrapText="1"/>
    </xf>
    <xf borderId="3" fillId="8" fontId="25" numFmtId="49" xfId="0" applyAlignment="1" applyBorder="1" applyFill="1" applyFont="1" applyNumberFormat="1">
      <alignment horizontal="left" readingOrder="0" shrinkToFit="0" vertical="center" wrapText="1"/>
    </xf>
    <xf borderId="3" fillId="8" fontId="25" numFmtId="4" xfId="0" applyAlignment="1" applyBorder="1" applyFont="1" applyNumberFormat="1">
      <alignment horizontal="left" readingOrder="0" shrinkToFit="0" vertical="center" wrapText="1"/>
    </xf>
    <xf borderId="3" fillId="8" fontId="25" numFmtId="171" xfId="0" applyAlignment="1" applyBorder="1" applyFont="1" applyNumberFormat="1">
      <alignment horizontal="left" readingOrder="0" shrinkToFit="0" vertical="center" wrapText="1"/>
    </xf>
    <xf borderId="11" fillId="5" fontId="23" numFmtId="0" xfId="0" applyAlignment="1" applyBorder="1" applyFont="1">
      <alignment horizontal="right" readingOrder="0"/>
    </xf>
    <xf borderId="12" fillId="0" fontId="4" numFmtId="49" xfId="0" applyAlignment="1" applyBorder="1" applyFont="1" applyNumberFormat="1">
      <alignment readingOrder="0" vertical="center"/>
    </xf>
    <xf borderId="12" fillId="0" fontId="4" numFmtId="166" xfId="0" applyAlignment="1" applyBorder="1" applyFont="1" applyNumberFormat="1">
      <alignment readingOrder="0" vertical="center"/>
    </xf>
    <xf borderId="12" fillId="0" fontId="4" numFmtId="0" xfId="0" applyAlignment="1" applyBorder="1" applyFont="1">
      <alignment vertical="center"/>
    </xf>
    <xf borderId="12" fillId="0" fontId="4" numFmtId="0" xfId="0" applyAlignment="1" applyBorder="1" applyFont="1">
      <alignment shrinkToFit="0" vertical="center" wrapText="0"/>
    </xf>
    <xf borderId="0" fillId="3" fontId="26" numFmtId="167" xfId="0" applyAlignment="1" applyFont="1" applyNumberFormat="1">
      <alignment horizontal="center" readingOrder="0"/>
    </xf>
    <xf borderId="0" fillId="3" fontId="27" numFmtId="167" xfId="0" applyAlignment="1" applyFont="1" applyNumberFormat="1">
      <alignment horizontal="center" readingOrder="0"/>
    </xf>
    <xf borderId="0" fillId="0" fontId="2" numFmtId="4" xfId="0" applyAlignment="1" applyFont="1" applyNumberFormat="1">
      <alignment readingOrder="0"/>
    </xf>
    <xf borderId="13" fillId="5" fontId="23" numFmtId="0" xfId="0" applyAlignment="1" applyBorder="1" applyFont="1">
      <alignment horizontal="right" readingOrder="0"/>
    </xf>
    <xf borderId="12" fillId="0" fontId="4" numFmtId="0" xfId="0" applyAlignment="1" applyBorder="1" applyFont="1">
      <alignment readingOrder="0" shrinkToFit="0" vertical="center" wrapText="0"/>
    </xf>
    <xf borderId="14" fillId="2" fontId="1" numFmtId="0" xfId="0" applyAlignment="1" applyBorder="1" applyFont="1">
      <alignment horizontal="center" readingOrder="0"/>
    </xf>
    <xf borderId="0" fillId="2" fontId="28" numFmtId="0" xfId="0" applyAlignment="1" applyFont="1">
      <alignment horizontal="center" readingOrder="0"/>
    </xf>
    <xf borderId="15" fillId="2" fontId="28" numFmtId="0" xfId="0" applyAlignment="1" applyBorder="1" applyFont="1">
      <alignment horizontal="center" readingOrder="0"/>
    </xf>
    <xf borderId="0" fillId="0" fontId="2" numFmtId="49" xfId="0" applyAlignment="1" applyFont="1" applyNumberFormat="1">
      <alignment readingOrder="0"/>
    </xf>
    <xf borderId="0" fillId="0" fontId="5" numFmtId="0" xfId="0" applyAlignment="1" applyFont="1">
      <alignment horizontal="left" readingOrder="0"/>
    </xf>
    <xf borderId="0" fillId="0" fontId="29" numFmtId="4" xfId="0" applyAlignment="1" applyFont="1" applyNumberFormat="1">
      <alignment horizontal="right" readingOrder="0"/>
    </xf>
    <xf borderId="0" fillId="0" fontId="29" numFmtId="167" xfId="0" applyAlignment="1" applyFont="1" applyNumberFormat="1">
      <alignment horizontal="right" readingOrder="0"/>
    </xf>
    <xf borderId="3" fillId="9" fontId="30" numFmtId="172" xfId="0" applyAlignment="1" applyBorder="1" applyFill="1" applyFont="1" applyNumberFormat="1">
      <alignment horizontal="center" textRotation="90" vertical="center"/>
    </xf>
    <xf borderId="0" fillId="9" fontId="30" numFmtId="172" xfId="0" applyAlignment="1" applyFont="1" applyNumberFormat="1">
      <alignment horizontal="center" textRotation="90" vertical="center"/>
    </xf>
    <xf borderId="8" fillId="8" fontId="25" numFmtId="49" xfId="0" applyAlignment="1" applyBorder="1" applyFont="1" applyNumberFormat="1">
      <alignment horizontal="left" readingOrder="0" shrinkToFit="0" vertical="center" wrapText="1"/>
    </xf>
    <xf borderId="8" fillId="8" fontId="4" numFmtId="2" xfId="0" applyAlignment="1" applyBorder="1" applyFont="1" applyNumberFormat="1">
      <alignment horizontal="left" readingOrder="0" shrinkToFit="0" vertical="center" wrapText="1"/>
    </xf>
    <xf borderId="8" fillId="8" fontId="31" numFmtId="173" xfId="0" applyAlignment="1" applyBorder="1" applyFont="1" applyNumberFormat="1">
      <alignment horizontal="left" vertical="center"/>
    </xf>
    <xf borderId="8" fillId="8" fontId="32" numFmtId="173" xfId="0" applyAlignment="1" applyBorder="1" applyFont="1" applyNumberFormat="1">
      <alignment horizontal="right" readingOrder="0" vertical="center"/>
    </xf>
    <xf borderId="8" fillId="0" fontId="4" numFmtId="49" xfId="0" applyAlignment="1" applyBorder="1" applyFont="1" applyNumberFormat="1">
      <alignment readingOrder="0" vertical="center"/>
    </xf>
    <xf borderId="8" fillId="0" fontId="4" numFmtId="166" xfId="0" applyAlignment="1" applyBorder="1" applyFont="1" applyNumberFormat="1">
      <alignment vertical="center"/>
    </xf>
    <xf borderId="8" fillId="0" fontId="4" numFmtId="49" xfId="0" applyAlignment="1" applyBorder="1" applyFont="1" applyNumberFormat="1">
      <alignment vertical="center"/>
    </xf>
    <xf borderId="8" fillId="0" fontId="4" numFmtId="0" xfId="0" applyAlignment="1" applyBorder="1" applyFont="1">
      <alignment vertical="center"/>
    </xf>
    <xf borderId="0" fillId="2" fontId="33" numFmtId="49" xfId="0" applyAlignment="1" applyFont="1" applyNumberFormat="1">
      <alignment horizontal="right" readingOrder="0" shrinkToFit="0" vertical="center" wrapText="1"/>
    </xf>
    <xf borderId="8" fillId="0" fontId="4" numFmtId="0" xfId="0" applyAlignment="1" applyBorder="1" applyFont="1">
      <alignment shrinkToFit="0" vertical="center" wrapText="0"/>
    </xf>
    <xf borderId="0" fillId="3" fontId="34" numFmtId="0" xfId="0" applyAlignment="1" applyFont="1">
      <alignment readingOrder="0" vertical="bottom"/>
    </xf>
    <xf borderId="0" fillId="3" fontId="35" numFmtId="4" xfId="0" applyAlignment="1" applyFont="1" applyNumberFormat="1">
      <alignment vertical="bottom"/>
    </xf>
    <xf borderId="0" fillId="3" fontId="27" numFmtId="167" xfId="0" applyAlignment="1" applyFont="1" applyNumberFormat="1">
      <alignment horizontal="right" readingOrder="0" vertical="bottom"/>
    </xf>
    <xf borderId="0" fillId="0" fontId="29" numFmtId="4" xfId="0" applyAlignment="1" applyFont="1" applyNumberFormat="1">
      <alignment horizontal="right" vertical="bottom"/>
    </xf>
    <xf borderId="0" fillId="0" fontId="13" numFmtId="49" xfId="0" applyAlignment="1" applyFont="1" applyNumberFormat="1">
      <alignment readingOrder="0" vertical="bottom"/>
    </xf>
    <xf borderId="0" fillId="3" fontId="36" numFmtId="0" xfId="0" applyAlignment="1" applyFont="1">
      <alignment readingOrder="0" vertical="bottom"/>
    </xf>
    <xf borderId="8" fillId="9" fontId="30" numFmtId="0" xfId="0" applyAlignment="1" applyBorder="1" applyFont="1">
      <alignment horizontal="center" textRotation="0" vertical="center"/>
    </xf>
    <xf borderId="0" fillId="3" fontId="26" numFmtId="4" xfId="0" applyAlignment="1" applyFont="1" applyNumberFormat="1">
      <alignment horizontal="right" readingOrder="0" vertical="bottom"/>
    </xf>
    <xf borderId="0" fillId="9" fontId="30" numFmtId="0" xfId="0" applyAlignment="1" applyFont="1">
      <alignment horizontal="center" textRotation="0" vertical="center"/>
    </xf>
    <xf borderId="0" fillId="3" fontId="26" numFmtId="167" xfId="0" applyAlignment="1" applyFont="1" applyNumberFormat="1">
      <alignment horizontal="right" readingOrder="0" vertical="bottom"/>
    </xf>
    <xf borderId="0" fillId="3" fontId="26" numFmtId="167" xfId="0" applyAlignment="1" applyFont="1" applyNumberFormat="1">
      <alignment horizontal="right" vertical="bottom"/>
    </xf>
    <xf borderId="0" fillId="2" fontId="37" numFmtId="49" xfId="0" applyAlignment="1" applyFont="1" applyNumberFormat="1">
      <alignment horizontal="center" readingOrder="0" shrinkToFit="0" textRotation="0" vertical="center" wrapText="0"/>
    </xf>
    <xf borderId="0" fillId="10" fontId="38" numFmtId="49" xfId="0" applyAlignment="1" applyFill="1" applyFont="1" applyNumberFormat="1">
      <alignment horizontal="center" readingOrder="0" shrinkToFit="0" vertical="center" wrapText="0"/>
    </xf>
    <xf borderId="16" fillId="10" fontId="39" numFmtId="49" xfId="0" applyAlignment="1" applyBorder="1" applyFont="1" applyNumberFormat="1">
      <alignment horizontal="center" readingOrder="0" shrinkToFit="0" vertical="center" wrapText="1"/>
    </xf>
    <xf borderId="16" fillId="10" fontId="39" numFmtId="49" xfId="0" applyAlignment="1" applyBorder="1" applyFont="1" applyNumberFormat="1">
      <alignment horizontal="center" readingOrder="0" shrinkToFit="0" vertical="center" wrapText="0"/>
    </xf>
    <xf borderId="17" fillId="10" fontId="40" numFmtId="49" xfId="0" applyAlignment="1" applyBorder="1" applyFont="1" applyNumberFormat="1">
      <alignment horizontal="center" readingOrder="0" shrinkToFit="0" vertical="center" wrapText="1"/>
    </xf>
    <xf borderId="18" fillId="10" fontId="40" numFmtId="49" xfId="0" applyAlignment="1" applyBorder="1" applyFont="1" applyNumberFormat="1">
      <alignment horizontal="center" readingOrder="0" shrinkToFit="0" vertical="center" wrapText="1"/>
    </xf>
    <xf borderId="18" fillId="10" fontId="40" numFmtId="167" xfId="0" applyAlignment="1" applyBorder="1" applyFont="1" applyNumberFormat="1">
      <alignment horizontal="center" readingOrder="0" shrinkToFit="0" vertical="center" wrapText="1"/>
    </xf>
    <xf borderId="18" fillId="10" fontId="40" numFmtId="0" xfId="0" applyAlignment="1" applyBorder="1" applyFont="1">
      <alignment horizontal="center" readingOrder="0" shrinkToFit="0" vertical="center" wrapText="1"/>
    </xf>
    <xf borderId="0" fillId="3" fontId="36" numFmtId="0" xfId="0" applyAlignment="1" applyFont="1">
      <alignment vertical="bottom"/>
    </xf>
    <xf borderId="18" fillId="10" fontId="41" numFmtId="0" xfId="0" applyAlignment="1" applyBorder="1" applyFont="1">
      <alignment horizontal="center" readingOrder="0" shrinkToFit="0" vertical="center" wrapText="0"/>
    </xf>
    <xf borderId="19" fillId="10" fontId="40" numFmtId="0" xfId="0" applyAlignment="1" applyBorder="1" applyFont="1">
      <alignment horizontal="center" readingOrder="0" shrinkToFit="0" vertical="center" wrapText="0"/>
    </xf>
    <xf borderId="16" fillId="10" fontId="39" numFmtId="49" xfId="0" applyAlignment="1" applyBorder="1" applyFont="1" applyNumberFormat="1">
      <alignment horizontal="center" readingOrder="0" textRotation="90" vertical="center"/>
    </xf>
    <xf borderId="20" fillId="10" fontId="39" numFmtId="49" xfId="0" applyAlignment="1" applyBorder="1" applyFont="1" applyNumberFormat="1">
      <alignment horizontal="center" readingOrder="0" textRotation="90" vertical="center"/>
    </xf>
    <xf borderId="0" fillId="2" fontId="42" numFmtId="49" xfId="0" applyAlignment="1" applyFont="1" applyNumberFormat="1">
      <alignment horizontal="center" readingOrder="0" shrinkToFit="0" textRotation="0" vertical="bottom" wrapText="1"/>
    </xf>
    <xf borderId="21" fillId="10" fontId="38" numFmtId="49" xfId="0" applyAlignment="1" applyBorder="1" applyFont="1" applyNumberFormat="1">
      <alignment horizontal="center" readingOrder="0" shrinkToFit="0" vertical="center" wrapText="0"/>
    </xf>
    <xf borderId="16" fillId="0" fontId="4" numFmtId="0" xfId="0" applyBorder="1" applyFont="1"/>
    <xf borderId="17" fillId="0" fontId="4" numFmtId="0" xfId="0" applyBorder="1" applyFont="1"/>
    <xf borderId="22" fillId="0" fontId="4" numFmtId="0" xfId="0" applyBorder="1" applyFont="1"/>
    <xf borderId="23" fillId="0" fontId="4" numFmtId="0" xfId="0" applyBorder="1" applyFont="1"/>
    <xf borderId="20" fillId="0" fontId="4" numFmtId="0" xfId="0" applyBorder="1" applyFont="1"/>
    <xf borderId="0" fillId="0" fontId="39" numFmtId="0" xfId="0" applyAlignment="1" applyFont="1">
      <alignment horizontal="right" shrinkToFit="0" textRotation="90" vertical="center" wrapText="0"/>
    </xf>
    <xf borderId="0" fillId="0" fontId="43" numFmtId="0" xfId="0" applyAlignment="1" applyFont="1">
      <alignment horizontal="center" shrinkToFit="0" textRotation="90" vertical="center" wrapText="1"/>
    </xf>
    <xf borderId="24" fillId="0" fontId="4" numFmtId="0" xfId="0" applyAlignment="1" applyBorder="1" applyFont="1">
      <alignment readingOrder="0" shrinkToFit="0" vertical="center" wrapText="0"/>
    </xf>
    <xf borderId="24" fillId="0" fontId="44" numFmtId="0" xfId="0" applyAlignment="1" applyBorder="1" applyFont="1">
      <alignment shrinkToFit="0" vertical="center" wrapText="1"/>
    </xf>
    <xf borderId="25" fillId="0" fontId="45" numFmtId="174" xfId="0" applyAlignment="1" applyBorder="1" applyFont="1" applyNumberFormat="1">
      <alignment shrinkToFit="0" vertical="center" wrapText="0"/>
    </xf>
    <xf borderId="26" fillId="0" fontId="4" numFmtId="4" xfId="0" applyAlignment="1" applyBorder="1" applyFont="1" applyNumberFormat="1">
      <alignment readingOrder="0" vertical="center"/>
    </xf>
    <xf borderId="24" fillId="0" fontId="4" numFmtId="4" xfId="0" applyAlignment="1" applyBorder="1" applyFont="1" applyNumberFormat="1">
      <alignment readingOrder="0" vertical="center"/>
    </xf>
    <xf borderId="24" fillId="6" fontId="46" numFmtId="4" xfId="0" applyAlignment="1" applyBorder="1" applyFont="1" applyNumberFormat="1">
      <alignment readingOrder="0"/>
    </xf>
    <xf borderId="24" fillId="0" fontId="4" numFmtId="0" xfId="0" applyAlignment="1" applyBorder="1" applyFont="1">
      <alignment readingOrder="0" vertical="center"/>
    </xf>
    <xf borderId="27" fillId="0" fontId="47" numFmtId="0" xfId="0" applyAlignment="1" applyBorder="1" applyFont="1">
      <alignment horizontal="center" readingOrder="0" vertical="center"/>
    </xf>
    <xf borderId="0" fillId="11" fontId="39" numFmtId="0" xfId="0" applyAlignment="1" applyFill="1" applyFont="1">
      <alignment horizontal="right" shrinkToFit="0" textRotation="90" vertical="center" wrapText="0"/>
    </xf>
    <xf borderId="0" fillId="11" fontId="48" numFmtId="0" xfId="0" applyAlignment="1" applyFont="1">
      <alignment horizontal="center" shrinkToFit="0" textRotation="90" vertical="center" wrapText="1"/>
    </xf>
    <xf borderId="24" fillId="0" fontId="4" numFmtId="0" xfId="0" applyAlignment="1" applyBorder="1" applyFont="1">
      <alignment shrinkToFit="0" vertical="center" wrapText="0"/>
    </xf>
    <xf borderId="24" fillId="0" fontId="47" numFmtId="0" xfId="0" applyAlignment="1" applyBorder="1" applyFont="1">
      <alignment horizontal="center" readingOrder="0" vertical="center"/>
    </xf>
    <xf borderId="28" fillId="11" fontId="39" numFmtId="0" xfId="0" applyAlignment="1" applyBorder="1" applyFont="1">
      <alignment horizontal="right" shrinkToFit="0" textRotation="90" vertical="center" wrapText="0"/>
    </xf>
    <xf borderId="28" fillId="11" fontId="48" numFmtId="0" xfId="0" applyAlignment="1" applyBorder="1" applyFont="1">
      <alignment horizontal="center" shrinkToFit="0" textRotation="90" vertical="center" wrapText="1"/>
    </xf>
  </cellXfs>
  <cellStyles count="1">
    <cellStyle xfId="0" name="Normal" builtinId="0"/>
  </cellStyles>
  <dxfs count="19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>
        <i/>
        <color rgb="FF006CC2"/>
      </font>
      <fill>
        <patternFill patternType="none"/>
      </fill>
      <border/>
    </dxf>
    <dxf>
      <font/>
      <fill>
        <patternFill patternType="solid">
          <fgColor rgb="FFEBB2AA"/>
          <bgColor rgb="FFEBB2AA"/>
        </patternFill>
      </fill>
      <border/>
    </dxf>
    <dxf>
      <font/>
      <fill>
        <patternFill patternType="solid">
          <fgColor rgb="FFDDF5F5"/>
          <bgColor rgb="FFDDF5F5"/>
        </patternFill>
      </fill>
      <border/>
    </dxf>
    <dxf>
      <font/>
      <fill>
        <patternFill patternType="solid">
          <fgColor rgb="FFF0FFFF"/>
          <bgColor rgb="FFF0FFFF"/>
        </patternFill>
      </fill>
      <border/>
    </dxf>
    <dxf>
      <font/>
      <fill>
        <patternFill patternType="solid">
          <fgColor rgb="FFE3EAF0"/>
          <bgColor rgb="FFE3EAF0"/>
        </patternFill>
      </fill>
      <border/>
    </dxf>
    <dxf>
      <font/>
      <fill>
        <patternFill patternType="solid">
          <fgColor rgb="FF4C1130"/>
          <bgColor rgb="FF4C1130"/>
        </patternFill>
      </fill>
      <border/>
    </dxf>
    <dxf>
      <font/>
      <fill>
        <patternFill patternType="solid">
          <fgColor rgb="FF783F04"/>
          <bgColor rgb="FF783F04"/>
        </patternFill>
      </fill>
      <border/>
    </dxf>
    <dxf>
      <font/>
      <fill>
        <patternFill patternType="solid">
          <fgColor rgb="FF274E13"/>
          <bgColor rgb="FF274E13"/>
        </patternFill>
      </fill>
      <border/>
    </dxf>
    <dxf>
      <font/>
      <fill>
        <patternFill patternType="solid">
          <fgColor rgb="FF990000"/>
          <bgColor rgb="FF990000"/>
        </patternFill>
      </fill>
      <border/>
    </dxf>
    <dxf>
      <font/>
      <fill>
        <patternFill patternType="solid">
          <fgColor rgb="FF674EA7"/>
          <bgColor rgb="FF674EA7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BF9000"/>
          <bgColor rgb="FFBF9000"/>
        </patternFill>
      </fill>
      <border/>
    </dxf>
    <dxf>
      <font>
        <color rgb="FF9F392B"/>
      </font>
      <fill>
        <patternFill patternType="none"/>
      </fill>
      <border/>
    </dxf>
    <dxf>
      <font/>
      <fill>
        <patternFill patternType="solid">
          <fgColor rgb="FF244D88"/>
          <bgColor rgb="FF244D88"/>
        </patternFill>
      </fill>
      <border/>
    </dxf>
    <dxf>
      <font>
        <color rgb="FF38761D"/>
      </font>
      <fill>
        <patternFill patternType="none"/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drive.google.com/file/d/1H1fAEuKy_9x-W5JOmaVHxMoQHFD8K4gy/view?usp=sharing" TargetMode="External"/><Relationship Id="rId3" Type="http://schemas.openxmlformats.org/officeDocument/2006/relationships/hyperlink" Target="https://drive.google.com/file/d/1H1fAEuKy_9x-W5JOmaVHxMoQHFD8K4gy/view?usp=sharing" TargetMode="Externa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2" width="2.75"/>
    <col customWidth="1" hidden="1" min="3" max="3" width="11.75"/>
    <col customWidth="1" min="4" max="4" width="12.63"/>
    <col customWidth="1" min="5" max="5" width="8.63"/>
    <col customWidth="1" hidden="1" min="6" max="7" width="5.75"/>
    <col customWidth="1" hidden="1" min="8" max="10" width="8.5"/>
    <col customWidth="1" hidden="1" min="11" max="11" width="3.88"/>
    <col customWidth="1" hidden="1" min="12" max="12" width="18.38"/>
    <col customWidth="1" hidden="1" min="13" max="22" width="3.88"/>
  </cols>
  <sheetData>
    <row r="1" ht="19.5" customHeight="1">
      <c r="A1" s="6" t="s">
        <v>1</v>
      </c>
      <c r="C1" s="7"/>
      <c r="D1" s="7" t="s">
        <v>5</v>
      </c>
      <c r="M1" s="7"/>
      <c r="N1" s="7"/>
      <c r="O1" s="7"/>
      <c r="P1" s="7"/>
      <c r="Q1" s="7"/>
      <c r="R1" s="7"/>
      <c r="S1" s="7"/>
      <c r="T1" s="7"/>
      <c r="U1" s="7"/>
      <c r="V1" s="7"/>
    </row>
    <row r="2" ht="24.0" customHeight="1">
      <c r="A2" s="8">
        <f>Round(Sum(SPLITSHEET_COL($E:$F)),2)</f>
        <v>0</v>
      </c>
      <c r="E2" s="9" t="s">
        <v>6</v>
      </c>
      <c r="F2" s="10" t="s">
        <v>7</v>
      </c>
      <c r="G2" s="11" t="str">
        <f>IFERROR(__xludf.DUMMYFUNCTION("IfError(REGEXEXTRACT(E2,""^\((\w{3})\)""),)"),"USD")</f>
        <v>USD</v>
      </c>
      <c r="H2" s="13" t="str">
        <f t="array" ref="H2">If(IsBlank(G2),,Xlookup(G2,Currencies!B:B,Currencies!C:C))</f>
        <v>$</v>
      </c>
      <c r="I2" s="14" t="s">
        <v>8</v>
      </c>
      <c r="J2" s="16" t="str">
        <f>IFERROR(__xludf.DUMMYFUNCTION("RegExExtract(TO_TEXT(K2),""^\s*([^0-9\s]+)\s*\d{1,3}(?:,\d{3})*\.\d{2}"")"),"$")</f>
        <v>$</v>
      </c>
      <c r="K2" s="17">
        <v>0.0</v>
      </c>
      <c r="L2" s="18"/>
      <c r="M2" s="21" t="str">
        <f>IFERROR(__xludf.DUMMYFUNCTION("ARRAYFORMULA(
  LET(
    headers, EXPAND_TO_LAST_NAME_COL(M7),
    groupsRaw, EXPAND_TO_LAST_NAME_COL(M6),
    balancesRaw, EXPAND_TO_LAST_NAME_COL(M5),
    hasGroupError,        SUMPRODUCT(N(ISERROR(groupsRaw))) &gt; 0,
    hasBalanceError,      SUMPRODUCT"&amp;"(N(ISERROR(balancesRaw))) &gt; 0,
    IF(
       (hasBalanceError+H3+NOT(A2))&gt;0,
      ,
      LET(
        balances, ROUND(balancesRaw, 2),
        groups,   groupsRaw,
        step,     0.01,
        isPaidBySpecified, SUM(SPLITSHEET_COL(I:I)) &gt; 0,
     "&amp;"   errTotal, IF(isPaidBySpecified, SUM(balances), SUM(balances) - $A2),
        grp, IF(OR(hasGroupError,COUNTA(groups) = 0), IF(headers &lt;&gt; """", ""ALL"", """"), groups),
        baseCandidates,
          FILTER(
            TRIM(People!B:B),
          "&amp;"  TRIM(People!B:B) &lt;&gt; """",
            ISNUMBER(MATCH(TRIM(People!B:B), headers, 0))
          ),
        adj,
          MAP(
            headers, grp,
            LAMBDA(h, g,
              LET(
                groupHeaders, FILTER(headers, grp = g),
 "&amp;"               groupCandidates,
                  FILTER(
                    baseCandidates,
                    ISNUMBER(MATCH(baseCandidates, groupHeaders, 0)),
                    XLOOKUP(baseCandidates, headers, balances) &lt;&gt; 0
                  ),
  "&amp;"              err, IF(isPaidBySpecified, SUM(FILTER(balances, grp = g)), errTotal),
                k,  MIN(ABS(ROUND(err / step, 0)), COUNTA(groupCandidates)),
                pos, IFERROR(MATCH(h, groupCandidates, 0), 1000000000),
                IF(err"&amp;" = 0, 0, IF(pos &lt;= k, -SIGN(err) * step, 0))
              )
            )
          ),
        ROUND(balances + adj, 2)
      )
    )
  )
)
"),"")</f>
        <v/>
      </c>
      <c r="N2" s="23"/>
      <c r="O2" s="23"/>
      <c r="P2" s="23"/>
      <c r="Q2" s="23"/>
      <c r="R2" s="23"/>
      <c r="S2" s="23"/>
      <c r="T2" s="23"/>
      <c r="U2" s="23"/>
      <c r="V2" s="23"/>
    </row>
    <row r="3" ht="18.75" customHeight="1">
      <c r="A3" s="26" t="str">
        <f>IFERROR(__xludf.DUMMYFUNCTION("LET(
  isBaseCurrencyMissing, IsBlank(E2),
  isAddingNewCheckSheet, Not(IsBlank($A$8)),
  isChangingCurrency, H2 &lt;&gt; EffectiveMainCurrencySymbol,
  isProcessingRowValueChanges, $K$8&lt;&gt;0,
  noneNames, COUNTA(SPLITSHEET_COL($C:$C))=0,
  itemPriceMissing, COUN"&amp;"TIFS(SPLITSHEET_COL($D:$D), ""&lt;&gt;"", SPLITSHEET_COL($E:$E), ""="")&gt;0,
  payerAlreadyInCheck,
    COUNTIF(
      BYROW(
        ArrayFormula(EXPAND_TO_LAST_NAME_COL(SPLITSHEET_COL(M:M))),
        LAMBDA(splitRow,
          LET(
            rowNum, INDEX(ROW"&amp;"(splitRow), 1),
            payRatios, ArrayFormula(MOD(splitRow,1)*10),
            explicitAssignments, INDIRECT(REGEXREPLACE(INDIRECT(""$C$""&amp;rowNum), ""F\d+$"", ""ExplicitPayers"")),
            AND(NOT(ISBLANK(explicitAssignments)), SUM(payRatios)&gt;0,"&amp;" TRIM(INDIRECT(""$D$""&amp;rowNum))&lt;&gt;"""")
          )
        )
      ),
      TRUE
    )&gt;0,
  paidByMissing, H3,
  shareValuesMissing, CountIf(ArrayFormula(ERROR.TYPE($H13:H17)=2),true)&gt;0,
  message,SWITCH(TRUE,
    isBaseCurrencyMissing, ""Select a Base Cu"&amp;"rrency"",
    isAddingNewCheckSheet, ""⏳ Adding new Expense Sheet..."",
    isChangingCurrency,""⏳ Changing Currency Symbol..."",
    noneNames, ""✏️Start with the People sheet &amp;    the Expenses sheet"",
    itemPriceMissing,""Item(s) Amount Missing"",
  "&amp;"  payerAlreadyInCheck, ""Payer(s) already specified in Expense Sheet"",
    shareValuesMissing, ""Missing Share Values"",
    paidByMissing, ""Missing Payer for Item(s)"",
    """"
  ),
message
)"),"✏️Start with the People sheet &amp;    the Expenses sheet")</f>
        <v>✏️Start with the People sheet &amp;    the Expenses sheet</v>
      </c>
      <c r="E3" s="27"/>
      <c r="F3" s="28" t="s">
        <v>142</v>
      </c>
      <c r="G3" s="29">
        <f>10</f>
        <v>10</v>
      </c>
      <c r="H3" s="30" t="b">
        <f>AND(I9&gt;0, COUNTIFS(SPLITSHEET_COL($I:$I),"=0", SPLITSHEET_COL($F:$F),"&lt;&gt;")&gt;0)</f>
        <v>0</v>
      </c>
      <c r="I3" s="32" t="b">
        <f t="array" ref="I3">OR(Map(GETSHEETNAMES(D9,TRUE),Lambda(it,IsError(Indirect(it&amp;"!A2")))))</f>
        <v>0</v>
      </c>
      <c r="J3" s="33"/>
      <c r="K3" s="14" t="s">
        <v>194</v>
      </c>
      <c r="L3" s="18">
        <f t="array" ref="L3">MAX(Let(range,EXPAND_TO_LAST_ROW(M7:V7),IF(IsBlank(range),13, COLUMN(range))))</f>
        <v>13</v>
      </c>
      <c r="M3" s="38"/>
      <c r="N3" s="39"/>
      <c r="O3" s="39"/>
      <c r="P3" s="39"/>
      <c r="Q3" s="39"/>
      <c r="R3" s="39"/>
      <c r="S3" s="39"/>
      <c r="T3" s="39"/>
      <c r="U3" s="39"/>
      <c r="V3" s="39"/>
    </row>
    <row r="4" ht="9.75" customHeight="1">
      <c r="E4" s="27"/>
      <c r="F4" s="29"/>
      <c r="G4" s="11"/>
      <c r="H4" s="29"/>
      <c r="I4" s="33"/>
      <c r="J4" s="33"/>
      <c r="K4" s="41"/>
      <c r="L4" s="18">
        <f t="array" ref="L4">Columns(EXPAND_TO_LAST_NAME_COL(M7))</f>
        <v>1</v>
      </c>
      <c r="M4" s="38"/>
      <c r="N4" s="39"/>
      <c r="O4" s="39"/>
      <c r="P4" s="39"/>
      <c r="Q4" s="39"/>
      <c r="R4" s="39"/>
      <c r="S4" s="39"/>
      <c r="T4" s="39"/>
      <c r="U4" s="39"/>
      <c r="V4" s="39"/>
    </row>
    <row r="5" ht="45.75" hidden="1" customHeight="1">
      <c r="A5" s="44"/>
      <c r="B5" s="45"/>
      <c r="C5" s="46"/>
      <c r="D5" s="46"/>
      <c r="E5" s="46"/>
      <c r="F5" s="48"/>
      <c r="G5" s="49"/>
      <c r="H5" s="50"/>
      <c r="I5" s="50"/>
      <c r="J5" s="50"/>
      <c r="K5" s="51"/>
      <c r="L5" s="56" t="str">
        <f>IFERROR(__xludf.DUMMYFUNCTION("LET(
  sheetProp,
  MAP(
    VSTACK(""3D8DE36231C"", GETSHEETNAMES(D9, TRUE)),
    LAMBDA(
      sheetName,
      LET(
        d2Ref, IFERROR(INDIRECT(sheetName &amp; ""!D2""), """"),
        effectiveCurrencySymbol2, IFERROR(INDIRECT(sheetName &amp; ""!Effective"&amp;"CurrencySymbol""), """"),
        selectedCurrencySymbol2, IFERROR(INDIRECT(sheetName &amp; ""!E1""), """"),
        hasRedFormatting, INDIRECT(sheetName &amp; ""!F3""),
        b2HasError, ISERROR(INDIRECT(sheetName &amp; ""!B2"")),
        isRateRowHidden, INDIRECT"&amp;"(sheetName &amp; ""!F2""),
        taxVal, TO_TEXT(INDIRECT(sheetName &amp; ""!C5"")),
        tipVal, TO_TEXT(INDIRECT(sheetName &amp; ""!C6"")),
        discVal, TO_TEXT(INDIRECT(sheetName &amp; ""!C7"")),
        IF(
          d2Ref = """",
          """",
          L"&amp;"ET(
            includeIfCurrency, LAMBDA(rowNum, IF(OR(NOT(REGEXMATCH(TO_TEXT(INDIRECT(sheetName &amp; ""!C"" &amp; rowNum)), ""^[%0-9\.]*$"")),rowNum=""""), """"""C"" &amp; rowNum &amp; """""""", )),
            ranges,
              TEXTJOIN(
                "","",
  "&amp;"              TRUE,
                """"""C3"""""",
                """"""C"" &amp; G3 &amp; "":C"""""",
                includeIfCurrency(5),
                includeIfCurrency(6),
                includeIfCurrency(7)
              ),
            taxTipDiscValues"&amp;",
              ""["""""" &amp; TEXTJOIN("""""","""""", FALSE, JSON_ESCAPE(taxVal), JSON_ESCAPE(tipVal), JSON_ESCAPE(discVal)) &amp; """"""]"",
            """""""" &amp; JSON_ESCAPE(sheetName) &amp; """""":{"" &amp;
              TEXTJOIN(
                "","",
           "&amp;"     FALSE,
                JSON_PROP(""name"", sheetName, TRUE),
                JSON_PROP(""isDefaultCurrency"", IF(d2Ref, ""true"", ""false""), FALSE),
                JSON_PROP(""effectiveCurrencySymbol"", effectiveCurrencySymbol2, TRUE),
            "&amp;"    JSON_PROP(""selectedCurrencySymbol"", selectedCurrencySymbol2, TRUE),
                JSON_PROP(""hasUserOverriddenRate"", IF(b2HasError, ""true"", ""false""), FALSE),
                JSON_PROP(""isRateRowHidden"", IF(isRateRowHidden, ""true"", ""fals"&amp;"e""), FALSE),
                JSON_PROP(""hasRedFormattingActive"", IF(hasRedFormatting, ""true"", ""false""), FALSE),
                JSON_PROP(""currencyFormatRanges"", ""["" &amp; ranges &amp; ""]"", FALSE),
                JSON_PROP(""taxTipDiscValues"", taxT"&amp;"ipDiscValues, FALSE),
                JSON_PROP(""splitSheetRows"", GET_SHEET_RANGE(sheetName), FALSE)
              ) &amp;
            ""}""
          )
        )
      )
    )
  ),
  sheetObject, ""{"" &amp; TEXTJOIN("","", TRUE, sheetProp) &amp; ""}"",
  ""{""
  "&amp;"  &amp; TEXTJOIN(
        "","",
        FALSE,
        JSON_PROP(""mainCurrencySymbol"", EffectiveMainCurrencySymbol, TRUE),
        JSON_PROP(""selectedMainCurrencySymbol"", SelectedMainCurrencySymbol, TRUE),
        JSON_PROP(""splitSheetTitle"", Title, TR"&amp;"UE),
        JSON_PROP(""maxRows"", Rows(A:A), FALSE),
        JSON_PROP(""maxColumns"", Columns(1:1), FALSE),
        JSON_PROP(""maxColWithData"", L3, FALSE),
        JSON_PROP(""isSheetsFormulaStale"", IF(I3, ""true"", ""false""), FALSE),
        JSON_"&amp;"PROP(
          ""people"",
          ""{""
            &amp; TEXTJOIN(
                "","",
                FALSE,
                JSON_PROP(""namesSnapshot"", If(IsBlank(People!B1),""[]"",People!B1), FALSE),
                JSON_PROP(
                  """&amp;"currentNames"",
                  LET(
                    lastRow, LAST_ROW(People!A:A),
                    items, IF(lastRow=1,, INDEX(People!A:A, 2):INDEX(People!A:A, lastRow)),
                    If(lastRow=1,""[]"",""["" &amp; TEXTJOIN("","", TRUE, MAP"&amp;"(items, LAMBDA(x, """""""" &amp; JSON_ESCAPE(x) &amp; """"""""))) &amp; ""]"")
                  ),
                  FALSE
                )
              )
            &amp; ""}"",
          FALSE
        ),
        JSON_PROP(""sheets"", sheetObject, FALSE)
      )
   "&amp;" &amp; ""}""
)"),"{""mainCurrencySymbol"":""$"",""selectedMainCurrencySymbol"":""$"",""splitSheetTitle"":""Copy of Blank"",""maxRows"":17,""maxColumns"":22,""maxColWithData"":13,""isSheetsFormulaStale"":false,""people"":{""namesSnapshot"":[],""currentNames"":[]},""sheets"""&amp;":{""3D8DE36231C"":{""name"":""3D8DE36231C"",""isDefaultCurrency"":true,""effectiveCurrencySymbol"":""$"",""selectedCurrencySymbol"":""$"",""hasUserOverriddenRate"":false,""isRateRowHidden"":true,""hasRedFormattingActive"":false,""currencyFormatRanges"":["&amp;"""C3"",""C10:C"",""C5"",""C6"",""C7""],""taxTipDiscValues"":[""$0.00"",""$0.00"",""$0.00""],""splitSheetRows"":null},""3D8DE36231C"":{""name"":""3D8DE36231C"",""isDefaultCurrency"":true,""effectiveCurrencySymbol"":""$"",""selectedCurrencySymbol"":""$"","""&amp;"hasUserOverriddenRate"":false,""isRateRowHidden"":true,""hasRedFormattingActive"":false,""currencyFormatRanges"":[""C3"",""C10:C"",""C5"",""C6"",""C7""],""taxTipDiscValues"":[""$0.00"",""$0.00"",""$0.00""],""splitSheetRows"":null},""Expenses"":{""name"":"&amp;"""Expenses"",""isDefaultCurrency"":true,""effectiveCurrencySymbol"":""$"",""selectedCurrencySymbol"":""$"",""hasUserOverriddenRate"":false,""isRateRowHidden"":true,""hasRedFormattingActive"":false,""currencyFormatRanges"":[""C3"",""C10:C"",""C5"",""C6"","&amp;"""C7""],""taxTipDiscValues"":[""$0.00"",""$0.00"",""$0.00""],""splitSheetRows"":null}}}")</f>
        <v>{"mainCurrencySymbol":"$","selectedMainCurrencySymbol":"$","splitSheetTitle":"Copy of Blank","maxRows":17,"maxColumns":22,"maxColWithData":13,"isSheetsFormulaStale":false,"people":{"namesSnapshot":[],"currentNames":[]},"sheets":{"3D8DE36231C":{"name":"3D8DE36231C","isDefaultCurrency":true,"effectiveCurrencySymbol":"$","selectedCurrencySymbol":"$","hasUserOverriddenRate":false,"isRateRowHidden":true,"hasRedFormattingActive":false,"currencyFormatRanges":["C3","C10:C","C5","C6","C7"],"taxTipDiscValues":["$0.00","$0.00","$0.00"],"splitSheetRows":null},"3D8DE36231C":{"name":"3D8DE36231C","isDefaultCurrency":true,"effectiveCurrencySymbol":"$","selectedCurrencySymbol":"$","hasUserOverriddenRate":false,"isRateRowHidden":true,"hasRedFormattingActive":false,"currencyFormatRanges":["C3","C10:C","C5","C6","C7"],"taxTipDiscValues":["$0.00","$0.00","$0.00"],"splitSheetRows":null},"Expenses":{"name":"Expenses","isDefaultCurrency":true,"effectiveCurrencySymbol":"$","selectedCurrencySymbol":"$","hasUserOverriddenRate":false,"isRateRowHidden":true,"hasRedFormattingActive":false,"currencyFormatRanges":["C3","C10:C","C5","C6","C7"],"taxTipDiscValues":["$0.00","$0.00","$0.00"],"splitSheetRows":null}}}</v>
      </c>
      <c r="M5" s="64">
        <f>IFERROR(__xludf.DUMMYFUNCTION(" ArrayFormula(ROUND(
BYCOL(
      EXPAND_TO_LAST_NAME_COL(M7:M17),
      LAMBDA(
        col,
        LET(
          header, INDEX(col, 1),
          IF(header="""",,LET( 
          splits, OFFSET(col, 3, 0),
          explicitAssignments, Map(SPLITSHEET_"&amp;"COL($C:$C),Lambda(it,Indirect(REGEXREPLACE(it,""F\d+$"", ""ExplicitPayers"")))),
          SUM(SPLITSHEET_COL($H:$H) * TRUNC(splits) - SPLITSHEET_COL($G:$G) *
                IF(
                  IsBlank(explicitAssignments),
                  MOD(splits"&amp;", 1) * 10,
                  Map(explicitAssignments,Lambda(eAssignment,IF(
                  COUNTIF(
                    TRIM(SPLIT(eAssignment, "","")),
                    header
                  ) &gt; 0,1,0)))
                ))
   "&amp;"     )))
      )
    ),
    3
))"),0.0)</f>
        <v>0</v>
      </c>
      <c r="N5" s="65"/>
      <c r="O5" s="65"/>
      <c r="P5" s="65"/>
      <c r="Q5" s="65"/>
      <c r="R5" s="65"/>
      <c r="S5" s="65"/>
      <c r="T5" s="65"/>
      <c r="U5" s="65"/>
      <c r="V5" s="65"/>
    </row>
    <row r="6" ht="21.75" hidden="1" customHeight="1">
      <c r="A6" s="66"/>
      <c r="B6" s="66"/>
      <c r="C6" s="67"/>
      <c r="D6" s="68"/>
      <c r="E6" s="69" t="s">
        <v>440</v>
      </c>
      <c r="F6" s="70"/>
      <c r="G6" s="71"/>
      <c r="H6" s="72"/>
      <c r="I6" s="73"/>
      <c r="J6" s="74" t="s">
        <v>460</v>
      </c>
      <c r="K6" s="75"/>
      <c r="L6" s="75"/>
      <c r="M6" s="82" t="str">
        <f t="array" ref="M6">Transpose(LET(
  rng, EXPAND_TO_LAST_NAME_COL(M5),
  IF(
    AND(Counta(rng)&gt;2,SUMPRODUCT(N(ISERROR(rng))) = 0,Sum(SPLITSHEET_COL(I:I))&gt;0),
    GetAssignedTransactionGroups(rng),
  )
))</f>
        <v/>
      </c>
      <c r="N6" s="84"/>
      <c r="O6" s="84"/>
      <c r="P6" s="84"/>
      <c r="Q6" s="84"/>
      <c r="R6" s="84"/>
      <c r="S6" s="84"/>
      <c r="T6" s="84"/>
      <c r="U6" s="84"/>
      <c r="V6" s="84"/>
    </row>
    <row r="7" ht="13.5" customHeight="1">
      <c r="A7" s="87" t="str">
        <f>If(I3,"Refresh","Add Sheet")</f>
        <v>Add Sheet</v>
      </c>
      <c r="C7" s="88"/>
      <c r="D7" s="89" t="s">
        <v>519</v>
      </c>
      <c r="E7" s="90" t="s">
        <v>521</v>
      </c>
      <c r="F7" s="91"/>
      <c r="G7" s="92" t="s">
        <v>526</v>
      </c>
      <c r="H7" s="93" t="s">
        <v>530</v>
      </c>
      <c r="I7" s="94" t="s">
        <v>532</v>
      </c>
      <c r="J7" s="94" t="s">
        <v>536</v>
      </c>
      <c r="K7" s="96">
        <f>COUNTA(SPLITSHEET_COL($K:K))</f>
        <v>0</v>
      </c>
      <c r="L7" s="97" t="s">
        <v>570</v>
      </c>
      <c r="M7" s="98" t="str">
        <f t="array" ref="M7">LET(
  lastRow, MAX(IF(LEN(People!A:A), ROW(People!A:A))),
  items, If(lastRow=1,, TRANSPOSE(INDEX(People!A:A, 2):INDEX(People!A:A, lastRow))),
 items
)</f>
        <v/>
      </c>
      <c r="N7" s="99"/>
      <c r="O7" s="99"/>
      <c r="P7" s="99"/>
      <c r="Q7" s="99"/>
      <c r="R7" s="99"/>
      <c r="S7" s="99"/>
      <c r="T7" s="99"/>
      <c r="U7" s="99"/>
      <c r="V7" s="99"/>
    </row>
    <row r="8" ht="28.5" customHeight="1">
      <c r="A8" s="100"/>
      <c r="C8" s="101"/>
      <c r="D8" s="102"/>
      <c r="E8" s="102"/>
      <c r="F8" s="103"/>
      <c r="G8" s="104"/>
      <c r="H8" s="104"/>
      <c r="I8" s="104"/>
      <c r="J8" s="104"/>
      <c r="K8" s="104"/>
      <c r="L8" s="105"/>
      <c r="M8" s="102"/>
      <c r="N8" s="106"/>
      <c r="O8" s="106"/>
      <c r="P8" s="106"/>
      <c r="Q8" s="106"/>
      <c r="R8" s="106"/>
      <c r="S8" s="106"/>
      <c r="T8" s="106"/>
      <c r="U8" s="106"/>
      <c r="V8" s="106"/>
    </row>
    <row r="9" ht="23.25" hidden="1" customHeight="1">
      <c r="A9" s="107" t="str">
        <f>IFERROR(__xludf.DUMMYFUNCTION("ADD_EMPTY_ROW(ARRAYFORMULA(iferror(REGEXEXTRACT(SPLITSHEET_COL($C:C),""^[^!]+""),)))"),"")</f>
        <v/>
      </c>
      <c r="B9" s="108" t="str">
        <f>IFERROR(__xludf.DUMMYFUNCTION("ADD_EMPTY_ROW(MAP(SPLITSHEET_COL($C:$C), LAMBDA(c,
  IfError(LET(
    sn, REGEXEXTRACT(c, ""^[^!]+""),
    pairs, {""Tx""&amp;UNICHAR(8239),""D5"";""Tp"",""D6"";""Dis""&amp;UNICHAR(8239),""D7""},
    TEXTJOIN("" - "", TRUE,
      BYROW(pairs, LAMBDA(rw,
        L"&amp;"ET(
          title, INDEX(rw,1,1),
          addr,  INDEX(rw,1,2),
          val, Round(INDIRECT(sn &amp; ""!"" &amp; addr),2),
          if(val&gt;0,title &amp; "": "" &amp; TEXT(val, ""#,##0""""""&amp;UNICHAR(8239)&amp;"""""".00""),"""")
        )
      ))
    )
  ),)
)))"),"")</f>
        <v/>
      </c>
      <c r="C9" s="109" t="str">
        <f t="array" ref="C9:C10">ADD_EMPTY_ROW(IF(_xlfn.ISFORMULA(D9),
  LET(
    sheetNames, GETSHEETNAMES(D9,false),
    IF(COUNTA(sheetNames)=0,,
      REDUCE(, sheetNames, LAMBDA(acc, sheet,
        LET(
          range, INDIRECT(sheet&amp;"!A:A"),
          maxRow, LAST_ROW(range),
          refs, IF(maxRow&gt;=G3, sheet&amp;"!F"&amp;SEQUENCE(maxRow-G3+1,1,G3),),
          IF(acc="", refs, VSTACK(acc, refs))
        )
      ))
    )
  ),
))</f>
        <v/>
      </c>
      <c r="D9" s="110" t="str">
        <f>IFERROR(__xludf.DUMMYFUNCTION("ADD_EMPTY_ROW(Let(sheetNames, {'3D8DE36231C'!A1,Expenses!A1},
range0, Let(lastRow,LAST_ROW(EXPENSESHEET_COL('3D8DE36231C'!A:A)),If(lastRow&gt;0,ChooseCols(Index('3D8DE36231C'!A:A,10):Index('3D8DE36231C'!E:E,lastRow),1,5,4),)),
cond0, IfError('3D8DE36231C'!"&amp;"Total&gt;0,FALSE),
array0, {ARRAYFORMULA(SEQUENCE(ROWS(range0),1,1,0)*0 + cond0 = 1), range0},
range1, Let(lastRow,LAST_ROW(EXPENSESHEET_COL(Expenses!A:A)),If(lastRow&gt;0,ChooseCols(Index(Expenses!A:A,10):Index(Expenses!E:E,lastRow),1,5,4),)),
cond1, IfErro"&amp;"r(Expenses!Total&gt;0,FALSE),
array1, {ARRAYFORMULA(SEQUENCE(ROWS(range1),1,1,0)*0 + cond1 = 1), range1},
 s, VSTACK(array0,array1),
 kept, FILTER(s, CHOOSECOLS(s, 1)),
 result,CHOOSECOLS(kept, 2, 3, 4), If(IsError(result),If(H2&lt;&gt;J2,{""Calculating..."",I"&amp;"f(IsBlank(H2),""❓ ⇄ 💶"",""💵 ⇄ 💶"")},),result)))"),"")</f>
        <v/>
      </c>
      <c r="E9" s="111"/>
      <c r="F9" s="112"/>
      <c r="G9" s="113" t="str">
        <f t="array" ref="G9:G17">ADD_EMPTY_ROW(iferror(if(SPLITSHEET_COL($E:$E)="",,(SPLITSHEET_COL($E:$E)+SPLITSHEET_COL($F:$F))/SPLITSHEET_COL($I:$I)),0))</f>
        <v/>
      </c>
      <c r="H9" s="114" t="str">
        <f t="array" ref="H9:H17">ADD_EMPTY_ROW(Let(colE,SPLITSHEET_COL($E:$E),sum,SPLITSHEET_COL($F:F)+colE,if(sum=0,,(sum/SPLITSHEET_COL($J:$J)))))</f>
        <v/>
      </c>
      <c r="I9" s="115">
        <f>IFERROR(__xludf.DUMMYFUNCTION("LET(
  rows,
    BYROW(
      ARRAYFORMULA(EXPAND_TO_LAST_NAME_COL(SPLITSHEET_COL(M:M))),
      LAMBDA(
        splitRow,
        LET(
          payRatios, ARRAYFORMULA(MOD(splitRow, 1) * 10),
          billSheetName, REGEXEXTRACT(INDEX($C:$C, ROW(splitRo"&amp;"w)), ""^[^!]+""),
          explicitAssignments, INDIRECT(billSheetName &amp; ""!ExplicitPayers""),
          IF(
            ISERROR(billSheetName),
            ,
            IF(
              ISBLANK(explicitAssignments),
              SUM(payRatios),
     "&amp;"         COUNTA(SPLIT(explicitAssignments, "",""))
            )
          )
        )
      )
    ),
  total, SUM(rows),
  VSTACK(total, rows)
)"),0.0)</f>
        <v>0</v>
      </c>
      <c r="J9" s="115" t="str">
        <f t="array" ref="J9:J17">ADD_EMPTY_ROW(BYROW(EXPAND_TO_LAST_NAME_COL(SPLITSHEET_COL(M:M)), LAMBDA(rw, Let(result,Sum(Trunc(rw)),if(AND(result&gt;0,Not(IsBlank(Indirect("E"&amp; Row(rw))))),result,)))))
</f>
        <v/>
      </c>
      <c r="K9" s="109" t="str">
        <f>IFERROR(__xludf.DUMMYFUNCTION("ADD_EMPTY_ROW(ArrayFormula(
  IF(LEN(SPLITSHEET_COL(C:C)) &gt; 0,
    IF(REGEXMATCH(
         BYROW(Offset(SPLITSHEET_COL(M:M),0,0,,L3-Column(M1)+1), LAMBDA(row, JOIN("","", row))),
         ""^"" &amp; SUBSTITUTE(REGEXREPLACE(SPLITSHEET_COL(L:L), "",+$"", ), """&amp;"."", ""\."") &amp; "",*$""
       ),
       ,
       1
    ),
  )
))"),"")</f>
        <v/>
      </c>
      <c r="L9" s="109" t="str">
        <f>IFERROR(__xludf.DUMMYFUNCTION("ADD_EMPTY_ROW(
  LET(
    colC, SPLITSHEET_COL(C:C),
    countC, COUNTA(colC),
    IF(
      countC = 0,,
      ARRAYFORMULA(
        REGEXEXTRACT(
          MAP(
            ARRAY_CONSTRAIN(colC, countC, 1),
            LAMBDA(addr, INDIRECT(addr))
     "&amp;"     ),""(?:[^,]*(?:,)){0,"" &amp; ($L$3 - 1 - 12) &amp; ""}[^,]*""
        )
      )
    )
  )
)"),"")</f>
        <v/>
      </c>
      <c r="M9" s="116"/>
      <c r="N9" s="116"/>
      <c r="O9" s="116"/>
      <c r="P9" s="116"/>
      <c r="Q9" s="116"/>
      <c r="R9" s="116"/>
      <c r="S9" s="116"/>
      <c r="T9" s="116"/>
      <c r="U9" s="116"/>
      <c r="V9" s="116"/>
    </row>
    <row r="10" ht="22.5" hidden="1" customHeight="1">
      <c r="A10" s="117"/>
      <c r="B10" s="118"/>
      <c r="C10" s="109"/>
      <c r="D10" s="110"/>
      <c r="E10" s="111"/>
      <c r="F10" s="112"/>
      <c r="G10" s="113"/>
      <c r="H10" s="113"/>
      <c r="I10" s="115"/>
      <c r="J10" s="115"/>
      <c r="K10" s="119"/>
      <c r="L10" s="109"/>
      <c r="M10" s="120"/>
      <c r="N10" s="120"/>
      <c r="O10" s="120"/>
      <c r="P10" s="120"/>
      <c r="Q10" s="120"/>
      <c r="R10" s="120"/>
      <c r="S10" s="120"/>
      <c r="T10" s="120"/>
      <c r="U10" s="120"/>
      <c r="V10" s="120"/>
    </row>
    <row r="11" ht="22.5" hidden="1" customHeight="1">
      <c r="C11" s="109"/>
      <c r="D11" s="110"/>
      <c r="E11" s="111"/>
      <c r="F11" s="112"/>
      <c r="G11" s="113"/>
      <c r="H11" s="113"/>
      <c r="I11" s="115"/>
      <c r="J11" s="115"/>
      <c r="K11" s="119"/>
      <c r="L11" s="109"/>
      <c r="M11" s="120"/>
      <c r="N11" s="120"/>
      <c r="O11" s="120"/>
      <c r="P11" s="120"/>
      <c r="Q11" s="120"/>
      <c r="R11" s="120"/>
      <c r="S11" s="120"/>
      <c r="T11" s="120"/>
      <c r="U11" s="120"/>
      <c r="V11" s="120"/>
    </row>
    <row r="12" ht="22.5" hidden="1" customHeight="1">
      <c r="C12" s="109"/>
      <c r="D12" s="110"/>
      <c r="E12" s="111"/>
      <c r="F12" s="112"/>
      <c r="G12" s="113"/>
      <c r="H12" s="113"/>
      <c r="I12" s="115"/>
      <c r="J12" s="115"/>
      <c r="K12" s="119"/>
      <c r="L12" s="109"/>
      <c r="M12" s="120"/>
      <c r="N12" s="120"/>
      <c r="O12" s="120"/>
      <c r="P12" s="120"/>
      <c r="Q12" s="120"/>
      <c r="R12" s="120"/>
      <c r="S12" s="120"/>
      <c r="T12" s="120"/>
      <c r="U12" s="120"/>
      <c r="V12" s="120"/>
    </row>
    <row r="13" ht="22.5" hidden="1" customHeight="1">
      <c r="C13" s="109"/>
      <c r="D13" s="110"/>
      <c r="E13" s="111"/>
      <c r="F13" s="112"/>
      <c r="G13" s="113"/>
      <c r="H13" s="113"/>
      <c r="I13" s="115"/>
      <c r="J13" s="115"/>
      <c r="K13" s="119"/>
      <c r="L13" s="109"/>
      <c r="M13" s="120"/>
      <c r="N13" s="120"/>
      <c r="O13" s="120"/>
      <c r="P13" s="120"/>
      <c r="Q13" s="120"/>
      <c r="R13" s="120"/>
      <c r="S13" s="120"/>
      <c r="T13" s="120"/>
      <c r="U13" s="120"/>
      <c r="V13" s="120"/>
    </row>
    <row r="14" ht="22.5" hidden="1" customHeight="1">
      <c r="A14" s="121"/>
      <c r="B14" s="122"/>
      <c r="C14" s="109"/>
      <c r="D14" s="110"/>
      <c r="E14" s="111"/>
      <c r="F14" s="112"/>
      <c r="G14" s="113"/>
      <c r="H14" s="113"/>
      <c r="I14" s="115"/>
      <c r="J14" s="115"/>
      <c r="K14" s="119"/>
      <c r="L14" s="109"/>
      <c r="M14" s="120"/>
      <c r="N14" s="120"/>
      <c r="O14" s="120"/>
      <c r="P14" s="120"/>
      <c r="Q14" s="120"/>
      <c r="R14" s="120"/>
      <c r="S14" s="120"/>
      <c r="T14" s="120"/>
      <c r="U14" s="120"/>
      <c r="V14" s="120"/>
    </row>
    <row r="15" ht="22.5" hidden="1" customHeight="1">
      <c r="A15" s="117"/>
      <c r="B15" s="118"/>
      <c r="C15" s="109"/>
      <c r="D15" s="110"/>
      <c r="E15" s="111"/>
      <c r="F15" s="112"/>
      <c r="G15" s="113"/>
      <c r="H15" s="113"/>
      <c r="I15" s="115"/>
      <c r="J15" s="115"/>
      <c r="K15" s="119"/>
      <c r="L15" s="109"/>
      <c r="M15" s="120"/>
      <c r="N15" s="120"/>
      <c r="O15" s="120"/>
      <c r="P15" s="120"/>
      <c r="Q15" s="120"/>
      <c r="R15" s="120"/>
      <c r="S15" s="120"/>
      <c r="T15" s="120"/>
      <c r="U15" s="120"/>
      <c r="V15" s="120"/>
    </row>
    <row r="16" ht="22.5" hidden="1" customHeight="1">
      <c r="A16" s="117"/>
      <c r="B16" s="118"/>
      <c r="C16" s="109"/>
      <c r="D16" s="110"/>
      <c r="E16" s="111"/>
      <c r="F16" s="112"/>
      <c r="G16" s="113"/>
      <c r="H16" s="113"/>
      <c r="I16" s="115"/>
      <c r="J16" s="115"/>
      <c r="K16" s="119"/>
      <c r="L16" s="109"/>
      <c r="M16" s="120"/>
      <c r="N16" s="120"/>
      <c r="O16" s="120"/>
      <c r="P16" s="120"/>
      <c r="Q16" s="120"/>
      <c r="R16" s="120"/>
      <c r="S16" s="120"/>
      <c r="T16" s="120"/>
      <c r="U16" s="120"/>
      <c r="V16" s="120"/>
    </row>
    <row r="17" ht="22.5" hidden="1" customHeight="1">
      <c r="A17" s="117"/>
      <c r="B17" s="118"/>
      <c r="C17" s="109"/>
      <c r="D17" s="110"/>
      <c r="E17" s="111"/>
      <c r="F17" s="112"/>
      <c r="G17" s="113"/>
      <c r="H17" s="113"/>
      <c r="I17" s="115"/>
      <c r="J17" s="115"/>
      <c r="K17" s="119"/>
      <c r="L17" s="109"/>
      <c r="M17" s="120"/>
      <c r="N17" s="120"/>
      <c r="O17" s="120"/>
      <c r="P17" s="120"/>
      <c r="Q17" s="120"/>
      <c r="R17" s="120"/>
      <c r="S17" s="120"/>
      <c r="T17" s="120"/>
      <c r="U17" s="120"/>
      <c r="V17" s="120"/>
    </row>
  </sheetData>
  <mergeCells count="37">
    <mergeCell ref="Q2:Q4"/>
    <mergeCell ref="R2:R4"/>
    <mergeCell ref="S2:S4"/>
    <mergeCell ref="T2:T4"/>
    <mergeCell ref="U2:U4"/>
    <mergeCell ref="V2:V4"/>
    <mergeCell ref="D1:L1"/>
    <mergeCell ref="A2:D2"/>
    <mergeCell ref="M2:M4"/>
    <mergeCell ref="N2:N4"/>
    <mergeCell ref="O2:O4"/>
    <mergeCell ref="P2:P4"/>
    <mergeCell ref="A3:E4"/>
    <mergeCell ref="P7:P8"/>
    <mergeCell ref="Q7:Q8"/>
    <mergeCell ref="R7:R8"/>
    <mergeCell ref="S7:S8"/>
    <mergeCell ref="T7:T8"/>
    <mergeCell ref="U7:U8"/>
    <mergeCell ref="V7:V8"/>
    <mergeCell ref="I7:I8"/>
    <mergeCell ref="J7:J8"/>
    <mergeCell ref="K7:K8"/>
    <mergeCell ref="L7:L8"/>
    <mergeCell ref="M7:M8"/>
    <mergeCell ref="N7:N8"/>
    <mergeCell ref="O7:O8"/>
    <mergeCell ref="A8:B8"/>
    <mergeCell ref="A10:A13"/>
    <mergeCell ref="B10:B13"/>
    <mergeCell ref="A1:B1"/>
    <mergeCell ref="A7:B7"/>
    <mergeCell ref="D7:D8"/>
    <mergeCell ref="E7:E8"/>
    <mergeCell ref="F7:F8"/>
    <mergeCell ref="G7:G8"/>
    <mergeCell ref="H7:H8"/>
  </mergeCells>
  <conditionalFormatting sqref="M9:V17">
    <cfRule type="expression" dxfId="3" priority="1">
      <formula>Let(explicitAssignment,INDIRECT(REGEXREPLACE($C9,"F\d+$","ExplicitPayers")),AND(Not(IsBlank(M$7)),Not(IsBlank(explicitAssignment)),MOD(M9, 1) &lt;&gt; 0,Trim($D9)&lt;&gt;"",Mod(row(), 2) = 1))</formula>
    </cfRule>
  </conditionalFormatting>
  <conditionalFormatting sqref="M9:V17">
    <cfRule type="expression" dxfId="0" priority="2">
      <formula>Let(explicitAssignment,INDIRECT(REGEXREPLACE($C9,"F\d+$","ExplicitPayers")),AND(Not(IsBlank(M$7)),Not(IsBlank(explicitAssignment)),MOD(M9, 1) &lt;&gt; 0,Trim($D9)&lt;&gt;"",Mod(row(), 2) = 0))</formula>
    </cfRule>
  </conditionalFormatting>
  <conditionalFormatting sqref="M9:V17">
    <cfRule type="expression" dxfId="3" priority="3">
      <formula> AND(IsError($H9),ERROR.TYPE($H9)=2,Mod(row(), 2) = 1)</formula>
    </cfRule>
  </conditionalFormatting>
  <conditionalFormatting sqref="E10:E17">
    <cfRule type="expression" dxfId="3" priority="4">
      <formula>AND(IsBlank($E10),Not(IsBlank($D10)))</formula>
    </cfRule>
  </conditionalFormatting>
  <conditionalFormatting sqref="M9:V17">
    <cfRule type="expression" dxfId="0" priority="5">
      <formula> AND(IsError($H9),ERROR.TYPE($H9)=2,Mod(row(), 2) = 0)</formula>
    </cfRule>
  </conditionalFormatting>
  <conditionalFormatting sqref="M9:V17">
    <cfRule type="expression" dxfId="3" priority="6">
      <formula>AND(Not(IsBlank($F9)),$I$9&lt;&gt;0, $I9=0,Trim($D9)&lt;&gt;"",,Mod(row(), 2) = 1)</formula>
    </cfRule>
  </conditionalFormatting>
  <conditionalFormatting sqref="M9:V17">
    <cfRule type="expression" dxfId="0" priority="7">
      <formula>AND(Not(IsBlank($F9)),$I$9&lt;&gt;0, $I9=0,Trim($D9)&lt;&gt;"",,Mod(row(), 2) = 0)</formula>
    </cfRule>
  </conditionalFormatting>
  <conditionalFormatting sqref="M9:V17">
    <cfRule type="expression" dxfId="4" priority="8">
      <formula>Let(explicitAssignment,INDIRECT(REGEXREPLACE($C9,"F\d+$","ExplicitPayers")),AND(OR(AND(IsBlank(explicitAssignment),MOD(M9, 1) &lt;&gt; 0),CountIf(ArrayFormula(Trim(Split(explicitAssignment,","))),M$7)&gt;0),Mod(row(), 2) = 1))</formula>
    </cfRule>
  </conditionalFormatting>
  <conditionalFormatting sqref="M9:V17">
    <cfRule type="expression" dxfId="5" priority="9">
      <formula>Let(explicitAssignment,INDIRECT(REGEXREPLACE($C9,"F\d+$","ExplicitPayers")),AND(OR(AND(IsBlank(explicitAssignment),MOD(M9, 1) &lt;&gt; 0),CountIf(ArrayFormula(Trim(Split(explicitAssignment,","))),M$7)&gt;0),Mod(row(), 2) = 0))</formula>
    </cfRule>
  </conditionalFormatting>
  <conditionalFormatting sqref="C10:V17">
    <cfRule type="expression" dxfId="6" priority="10">
      <formula> Mod(row(), 2) = 1</formula>
    </cfRule>
  </conditionalFormatting>
  <conditionalFormatting sqref="M7:V8">
    <cfRule type="expression" dxfId="7" priority="11">
      <formula>M$6=1</formula>
    </cfRule>
  </conditionalFormatting>
  <conditionalFormatting sqref="M7:V8">
    <cfRule type="expression" dxfId="8" priority="12">
      <formula>M$6=2</formula>
    </cfRule>
  </conditionalFormatting>
  <conditionalFormatting sqref="M7:V8">
    <cfRule type="expression" dxfId="9" priority="13">
      <formula>M$6=3</formula>
    </cfRule>
  </conditionalFormatting>
  <conditionalFormatting sqref="M7:V8">
    <cfRule type="expression" dxfId="10" priority="14">
      <formula>M$6=4</formula>
    </cfRule>
  </conditionalFormatting>
  <conditionalFormatting sqref="M7:V8">
    <cfRule type="expression" dxfId="11" priority="15">
      <formula>M$6=5</formula>
    </cfRule>
  </conditionalFormatting>
  <conditionalFormatting sqref="M7:V8">
    <cfRule type="expression" dxfId="12" priority="16">
      <formula>M$6=6</formula>
    </cfRule>
  </conditionalFormatting>
  <conditionalFormatting sqref="M7:V8">
    <cfRule type="expression" dxfId="13" priority="17">
      <formula>M$6=7</formula>
    </cfRule>
  </conditionalFormatting>
  <conditionalFormatting sqref="M2:V4">
    <cfRule type="cellIs" dxfId="14" priority="18" operator="lessThan">
      <formula>0</formula>
    </cfRule>
  </conditionalFormatting>
  <conditionalFormatting sqref="A10:B17">
    <cfRule type="expression" dxfId="15" priority="19">
      <formula>Mod(Match($A10,Let(range,$A$9:$A17,Unique(Filter(range,range&lt;&gt;""))),0), 2 ) = 1</formula>
    </cfRule>
  </conditionalFormatting>
  <conditionalFormatting sqref="A3:E4">
    <cfRule type="expression" dxfId="16" priority="20">
      <formula>AND(H2&lt;&gt;"",OR(CountA($C$9:$C17)=0,Not(IsBlank($A$8))))</formula>
    </cfRule>
  </conditionalFormatting>
  <conditionalFormatting sqref="E2">
    <cfRule type="expression" dxfId="17" priority="21">
      <formula>IsBlank(G2)</formula>
    </cfRule>
  </conditionalFormatting>
  <conditionalFormatting sqref="L9">
    <cfRule type="notContainsBlanks" dxfId="18" priority="22">
      <formula>LEN(TRIM(L9))&gt;0</formula>
    </cfRule>
  </conditionalFormatting>
  <dataValidations>
    <dataValidation type="decimal" allowBlank="1" showDropDown="1" showErrorMessage="1" sqref="M11:V17">
      <formula1>0.0</formula1>
      <formula2>10.0</formula2>
    </dataValidation>
    <dataValidation type="list" allowBlank="1" showErrorMessage="1" sqref="E2">
      <formula1>Currencies!$D$2:$D17</formula1>
    </dataValidation>
  </dataValidations>
  <hyperlinks>
    <hyperlink r:id="rId2" ref="A1"/>
    <hyperlink r:id="rId3" ref="J6"/>
  </hyperlinks>
  <printOptions gridLines="1" horizontalCentered="1"/>
  <pageMargins bottom="0.1" footer="0.0" header="0.0" left="0.25" right="0.25" top="0.1"/>
  <pageSetup cellComments="atEnd" orientation="portrait" pageOrder="overThenDown" paperHeight="29.399999999999995in" paperWidth="6in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hidden="1" min="2" max="2" width="18.75"/>
  </cols>
  <sheetData>
    <row r="1" ht="21.75" customHeight="1">
      <c r="A1" s="1" t="s">
        <v>0</v>
      </c>
      <c r="B1" s="2" t="s">
        <v>2</v>
      </c>
    </row>
    <row r="2" ht="23.25" customHeight="1">
      <c r="A2" s="5"/>
      <c r="B2" s="2"/>
    </row>
    <row r="3" ht="23.25" customHeight="1">
      <c r="A3" s="5"/>
      <c r="B3" s="2"/>
    </row>
    <row r="4" ht="23.25" customHeight="1">
      <c r="A4" s="5"/>
      <c r="B4" s="2"/>
    </row>
    <row r="5" ht="23.25" customHeight="1">
      <c r="A5" s="5"/>
      <c r="B5" s="2"/>
    </row>
    <row r="6" ht="23.25" customHeight="1">
      <c r="A6" s="5"/>
      <c r="B6" s="2"/>
    </row>
    <row r="7" ht="23.25" customHeight="1">
      <c r="A7" s="5"/>
      <c r="B7" s="2"/>
    </row>
    <row r="8" ht="23.25" customHeight="1">
      <c r="A8" s="5"/>
      <c r="B8" s="2"/>
    </row>
    <row r="9" ht="23.25" customHeight="1">
      <c r="A9" s="5"/>
      <c r="B9" s="2"/>
    </row>
    <row r="10" ht="23.25" customHeight="1">
      <c r="A10" s="5"/>
      <c r="B10" s="2"/>
    </row>
  </sheetData>
  <dataValidations>
    <dataValidation type="custom" allowBlank="1" showDropDown="1" showInputMessage="1" showErrorMessage="1" prompt="No Duplicates. Name cannot contain leading and trailing spaces, comma or quotes" sqref="A2:A10">
      <formula1>AND(Not(RegExMatch($A2,"[,""]|^\s+|\s+$")),COUNTIF(Indirect("$A2:$A"), A2) = 1)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hidden="1" min="2" max="2" width="13.0"/>
    <col customWidth="1" min="3" max="3" width="13.0"/>
    <col customWidth="1" hidden="1" min="4" max="5" width="8.88"/>
    <col customWidth="1" hidden="1" min="6" max="6" width="28.5"/>
  </cols>
  <sheetData>
    <row r="1">
      <c r="A1" s="3" t="str">
        <f>If(F1&lt;&gt;E1,"⏳    ",) &amp; "Currency:"</f>
        <v>Currency:</v>
      </c>
      <c r="B1" s="12" t="str">
        <f t="array" ref="B1:C1">{"",Currencies!A1}</f>
        <v/>
      </c>
      <c r="C1" s="15" t="s">
        <v>3</v>
      </c>
      <c r="D1" s="22" t="str">
        <f t="array" ref="D1:E1">If(D2,{SelectedMainCurrencyAbbr,SelectedMainCurrencySymbol},XLookup(C1,Currencies!A:A,Currencies!B:C))</f>
        <v>USD</v>
      </c>
      <c r="E1" s="24" t="s">
        <v>11</v>
      </c>
      <c r="F1" s="24" t="str">
        <f>IFERROR(__xludf.DUMMYFUNCTION("RegExExtract(TO_TEXT(C3),""^\s*([^0-9\s]+)\s*\d{1,3}(?:,\d{3})*\.\d{2}"")"),"$")</f>
        <v>$</v>
      </c>
    </row>
    <row r="2" hidden="1">
      <c r="A2" s="25">
        <f>IF(IsError(B2),2,1)</f>
        <v>1</v>
      </c>
      <c r="B2" s="31" t="str">
        <f t="array" ref="B2:C2">{
  "",
  If(D2,1,IfError(1/XLookup(D1,Currencies!I:I,Currencies!J:J),Exchange_Rate(D1,SelectedMainCurrencyAbbr,Today())))
}</f>
        <v/>
      </c>
      <c r="C2" s="34">
        <v>1.0</v>
      </c>
      <c r="D2" s="24" t="b">
        <f>C1=Currencies!A1</f>
        <v>1</v>
      </c>
      <c r="E2" s="35">
        <v>10.0</v>
      </c>
      <c r="F2" s="35" t="b">
        <f>Not(SUBTOTAL(103, E2))</f>
        <v>1</v>
      </c>
    </row>
    <row r="3">
      <c r="A3" s="36" t="s">
        <v>230</v>
      </c>
      <c r="B3" s="37"/>
      <c r="C3" s="40">
        <f>Round(Sum(EXPENSESHEET_COL(C:C))+ E5 + E6 - E7,2)</f>
        <v>0</v>
      </c>
      <c r="D3" s="24"/>
      <c r="E3" s="24"/>
      <c r="F3" s="24" t="b">
        <f>IFERROR(__xludf.DUMMYFUNCTION("OR(OR(ARRAYFORMULA(COUNTIF(Indirect(""$A$8:$A""),$A10:$A19)  &gt;1)),OR(ARRAYFORMULA((((Not(IsBlank($A10:$A19)))*(IsBlank($C10:$C19)))&gt;0))),OR(ARRAYFORMULA((((IsBlank($A10:$A19))*(Not(IsBlank($C10:$C19))))&gt;0))),COUNTIF(INDIRECT(""Currencies!F:F""), C1) = 0,("&amp;"((C4&lt;&gt;"""")*(SUMPRODUCT(COUNTIF(INDIRECT(""People!A2:A""),TRIM(SPLIT(SUBSTITUTE(C4,"""""""",""""),"","")))=0)&gt;0))&gt;0))"),FALSE)</f>
        <v>0</v>
      </c>
    </row>
    <row r="4" hidden="1">
      <c r="A4" s="42" t="s">
        <v>300</v>
      </c>
      <c r="B4" s="43"/>
      <c r="C4" s="43"/>
      <c r="D4" s="24"/>
      <c r="E4" s="24"/>
      <c r="F4" s="2">
        <f>CountA(A10:A100000001)</f>
        <v>0</v>
      </c>
    </row>
    <row r="5">
      <c r="A5" s="47" t="str">
        <f>IFERROR(__xludf.DUMMYFUNCTION("ArrayFormula(Let(n,Now(),textValue,TO_TEXT($C5:$C7),sumOfC,Sum(EXPENSESHEET_COL(C:C)),If(RegExMatch(textValue,""^((\s*\d+(\.\d*)?\s*)|(0%))$""),""⏳  "",) &amp; {""Tax: "";""Tip:  "";""Discount:  ""} &amp; If(sumOfC=0,"""",If($E5:$E7=0,"""",""(""&amp; If(REGEXMATCH(te"&amp;"xtValue, ""%"") ,Text($E5:$E7,""""""""&amp; F1 &amp; """"""##0.00""),Text(Round($E5:$E7/sumOfC,2),""0.00%""))&amp;"")""))))"),"Tax: ")</f>
        <v>Tax: </v>
      </c>
      <c r="B5" s="52" t="str">
        <f t="shared" ref="B5:B7" si="1">{"",0}</f>
        <v/>
      </c>
      <c r="C5" s="53">
        <v>0.0</v>
      </c>
      <c r="D5" s="54">
        <f t="array" ref="D5:D7">E5:E7*$C$2</f>
        <v>0</v>
      </c>
      <c r="E5" s="54">
        <f>IFERROR(__xludf.DUMMYFUNCTION("ARRAYFORMULA(LET(
  n,Now(),
  vals, $C5:$C6,
  txt, TO_TEXT(vals),
  total, SUM(EXPENSESHEET_COL(C:C)),
    IF(REGEXMATCH(txt, ""%""),
       vals * total,
       vals
    )
  )
)"),0.0)</f>
        <v>0</v>
      </c>
      <c r="F5" s="24"/>
    </row>
    <row r="6">
      <c r="A6" s="55" t="str">
        <f>IFERROR(__xludf.DUMMYFUNCTION("""COMPUTED_VALUE"""),"Tip:  ")</f>
        <v>Tip:  </v>
      </c>
      <c r="B6" s="52" t="str">
        <f t="shared" si="1"/>
        <v/>
      </c>
      <c r="C6" s="53">
        <v>0.0</v>
      </c>
      <c r="D6" s="54">
        <v>0.0</v>
      </c>
      <c r="E6" s="54">
        <f>IFERROR(__xludf.DUMMYFUNCTION("""COMPUTED_VALUE"""),0.0)</f>
        <v>0</v>
      </c>
      <c r="F6" s="24"/>
    </row>
    <row r="7">
      <c r="A7" s="55" t="str">
        <f>IFERROR(__xludf.DUMMYFUNCTION("""COMPUTED_VALUE"""),"Discount:  ")</f>
        <v>Discount:  </v>
      </c>
      <c r="B7" s="52" t="str">
        <f t="shared" si="1"/>
        <v/>
      </c>
      <c r="C7" s="53">
        <v>0.0</v>
      </c>
      <c r="D7" s="54">
        <v>0.0</v>
      </c>
      <c r="E7" s="54">
        <f>IFERROR(__xludf.DUMMYFUNCTION("LET(
  n,Now(),
  val, $C7,
  txt, TO_TEXT(val),
  total, SUM(EXPENSESHEET_COL(C:C)),
  amount,IF(REGEXMATCH(txt, ""%""),
       val * total,
       val
    ),
   Min(total,amount)
  )
"),0.0)</f>
        <v>0</v>
      </c>
      <c r="F7" s="24"/>
    </row>
    <row r="8">
      <c r="A8" s="57" t="s">
        <v>402</v>
      </c>
      <c r="B8" s="58"/>
      <c r="C8" s="59" t="s">
        <v>407</v>
      </c>
      <c r="D8" s="54"/>
      <c r="E8" s="24"/>
      <c r="F8" s="60"/>
    </row>
    <row r="9" hidden="1">
      <c r="A9" s="61"/>
      <c r="B9" s="62"/>
      <c r="C9" s="63"/>
      <c r="D9" s="54" t="str">
        <f t="array" ref="D9:D19">If(IsBlank($C$9:$C19)+($C$9:$C19=0),,Let(itemSum,SUM($C$9:$C19),if(itemSum=0,0,(($D$5+$D$6 - MIN(itemSum,$D$7))/itemSum) * $C$9:$C19*$C$2)))</f>
        <v/>
      </c>
      <c r="E9" s="54" t="str">
        <f t="array" ref="E9:E19">If(IsBlank(C9:C19),,C9:C19*$C$2)</f>
        <v/>
      </c>
      <c r="F9" s="60"/>
    </row>
    <row r="10">
      <c r="A10" s="76"/>
      <c r="B10" s="77"/>
      <c r="C10" s="78"/>
      <c r="D10" s="79"/>
      <c r="E10" s="79"/>
      <c r="F10" s="80"/>
    </row>
    <row r="11">
      <c r="A11" s="76"/>
      <c r="B11" s="77"/>
      <c r="C11" s="78"/>
      <c r="D11" s="79"/>
      <c r="E11" s="79"/>
      <c r="F11" s="80"/>
    </row>
    <row r="12">
      <c r="A12" s="81"/>
      <c r="B12" s="83"/>
      <c r="C12" s="85"/>
      <c r="D12" s="54"/>
      <c r="E12" s="54"/>
      <c r="F12" s="60"/>
    </row>
    <row r="13">
      <c r="A13" s="81"/>
      <c r="B13" s="83"/>
      <c r="C13" s="85"/>
      <c r="D13" s="54"/>
      <c r="E13" s="54"/>
      <c r="F13" s="60"/>
    </row>
    <row r="14">
      <c r="A14" s="81"/>
      <c r="B14" s="83"/>
      <c r="C14" s="85"/>
      <c r="D14" s="54"/>
      <c r="E14" s="54"/>
      <c r="F14" s="60"/>
    </row>
    <row r="15">
      <c r="A15" s="81"/>
      <c r="B15" s="83"/>
      <c r="C15" s="85"/>
      <c r="D15" s="54"/>
      <c r="E15" s="54"/>
      <c r="F15" s="60"/>
    </row>
    <row r="16">
      <c r="A16" s="81"/>
      <c r="B16" s="83"/>
      <c r="C16" s="86"/>
      <c r="D16" s="54"/>
      <c r="E16" s="54"/>
      <c r="F16" s="60"/>
    </row>
    <row r="17">
      <c r="A17" s="81"/>
      <c r="B17" s="83"/>
      <c r="C17" s="86"/>
      <c r="D17" s="54"/>
      <c r="E17" s="54"/>
      <c r="F17" s="60"/>
    </row>
    <row r="18">
      <c r="A18" s="81"/>
      <c r="B18" s="83"/>
      <c r="C18" s="86"/>
      <c r="D18" s="54"/>
      <c r="E18" s="54"/>
      <c r="F18" s="60"/>
    </row>
    <row r="19">
      <c r="A19" s="81"/>
      <c r="B19" s="83"/>
      <c r="C19" s="86"/>
      <c r="D19" s="54"/>
      <c r="E19" s="54"/>
      <c r="F19" s="60"/>
    </row>
  </sheetData>
  <conditionalFormatting sqref="A10:A19">
    <cfRule type="expression" dxfId="0" priority="1">
      <formula>COUNTIF(Indirect("$A$8:$A"),$A10)  &gt;1</formula>
    </cfRule>
  </conditionalFormatting>
  <conditionalFormatting sqref="C10:C19">
    <cfRule type="expression" dxfId="0" priority="2">
      <formula>AND(Not(IsBlank($A10)), IsBlank($C10))</formula>
    </cfRule>
  </conditionalFormatting>
  <conditionalFormatting sqref="A10:A19">
    <cfRule type="expression" dxfId="1" priority="3">
      <formula>AND(CountA(Offset($A10,1,0,5000,2))&lt;&gt;0,IsBlank($A10))</formula>
    </cfRule>
  </conditionalFormatting>
  <conditionalFormatting sqref="C10:C19">
    <cfRule type="expression" dxfId="1" priority="4">
      <formula>AND(CountA(Offset($C10,1,-1,5000,2))&lt;&gt;0,IsBlank($C10))</formula>
    </cfRule>
  </conditionalFormatting>
  <conditionalFormatting sqref="A10:A19">
    <cfRule type="expression" dxfId="0" priority="5">
      <formula>AND(IsBlank($A10),Not(IsBlank($C10)))</formula>
    </cfRule>
  </conditionalFormatting>
  <conditionalFormatting sqref="C2">
    <cfRule type="expression" dxfId="2" priority="6">
      <formula>Not(IsError(B2))</formula>
    </cfRule>
  </conditionalFormatting>
  <conditionalFormatting sqref="C1">
    <cfRule type="expression" dxfId="3" priority="7">
      <formula>COUNTIF(INDIRECT("Currencies!F:F"), C1) = 0</formula>
    </cfRule>
  </conditionalFormatting>
  <conditionalFormatting sqref="C4">
    <cfRule type="expression" dxfId="0" priority="8">
      <formula>AND(C4&lt;&gt;"",SUMPRODUCT(COUNTIF(INDIRECT("People!A2:A"),TRIM(SPLIT(SUBSTITUTE(C4,"""",""),",")))=0)&gt;0)</formula>
    </cfRule>
  </conditionalFormatting>
  <dataValidations>
    <dataValidation type="custom" allowBlank="1" showDropDown="1" showErrorMessage="1" sqref="C10:C19">
      <formula1>AND(ISNUMBER($C10),$C10&gt;=0)</formula1>
    </dataValidation>
    <dataValidation type="custom" allowBlank="1" showDropDown="1" showInputMessage="1" showErrorMessage="1" prompt="Invalid exchange rate. Enter a positive value, or exchange rate can only be 1" sqref="C2">
      <formula1>If(D2,C2=1,C2&gt;0)</formula1>
    </dataValidation>
    <dataValidation type="list" allowBlank="1" showErrorMessage="1" sqref="C1">
      <formula1>Currencies!$F:$F</formula1>
    </dataValidation>
    <dataValidation type="list" allowBlank="1" showInputMessage="1" showErrorMessage="1" prompt="Only names in the &quot;People&quot; sheet can be selected." sqref="C4">
      <formula1>People!$A2:$A19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50.13"/>
    <col customWidth="1" min="5" max="5" width="21.88"/>
  </cols>
  <sheetData>
    <row r="1">
      <c r="A1" s="4" t="s">
        <v>3</v>
      </c>
      <c r="C1" t="s">
        <v>4</v>
      </c>
      <c r="D1" t="str">
        <f t="array" ref="D1:D617">"("&amp;B:B&amp;")"&amp;REPT(" ", 20)&amp;A:A</f>
        <v>()                    Default</v>
      </c>
      <c r="F1" t="str">
        <f>IFERROR(__xludf.DUMMYFUNCTION("LET(
  data, FILTER(A:B, B:B&lt;&gt;SelectedMainCurrencyAbbr),
  sheetNames, GETSHEETNAMES(Split!D9, TRUE),
  usedCurrencies,
    UNIQUE(
      TOCOL(
        MAP(
          sheetNames,
          LAMBDA(s, INDIRECT(s &amp; ""!C1""))
        ),
        1
      )
   "&amp;" ),
  priority,
    MAP(
      INDEX(data,,1),
      LAMBDA(cur,
        IF(
          cur=""Default"",
          0,
          IF(COUNTIF(usedCurrencies, cur), 1, 2)
        )
      )
    ),
  SORT(
    data,
    priority, TRUE,
    SEQUENCE(ROWS(data)), "&amp;"TRUE
  )
)"),"Default")</f>
        <v>Default</v>
      </c>
      <c r="I1" t="str">
        <f>EXCHANGE_RATE_TO(SelectedMainCurrencyAbbr, SelectedMainCurrencyAbbr,Today())</f>
        <v>1inch</v>
      </c>
      <c r="J1">
        <v>12.25616623</v>
      </c>
    </row>
    <row r="2">
      <c r="A2" s="19" t="s">
        <v>9</v>
      </c>
      <c r="B2" s="19" t="s">
        <v>10</v>
      </c>
      <c r="C2" s="19" t="s">
        <v>11</v>
      </c>
      <c r="D2" t="s">
        <v>6</v>
      </c>
      <c r="F2" t="str">
        <f>IFERROR(__xludf.DUMMYFUNCTION("""COMPUTED_VALUE"""),"Euro")</f>
        <v>Euro</v>
      </c>
      <c r="G2" t="str">
        <f>IFERROR(__xludf.DUMMYFUNCTION("""COMPUTED_VALUE"""),"EUR")</f>
        <v>EUR</v>
      </c>
      <c r="I2" t="s">
        <v>12</v>
      </c>
      <c r="J2">
        <v>0.010838161</v>
      </c>
    </row>
    <row r="3">
      <c r="A3" s="19" t="s">
        <v>13</v>
      </c>
      <c r="B3" s="19" t="s">
        <v>14</v>
      </c>
      <c r="C3" s="19" t="s">
        <v>15</v>
      </c>
      <c r="D3" t="s">
        <v>16</v>
      </c>
      <c r="F3" t="str">
        <f>IFERROR(__xludf.DUMMYFUNCTION("""COMPUTED_VALUE"""),"Afghan Afghani")</f>
        <v>Afghan Afghani</v>
      </c>
      <c r="G3" t="str">
        <f>IFERROR(__xludf.DUMMYFUNCTION("""COMPUTED_VALUE"""),"AFN")</f>
        <v>AFN</v>
      </c>
      <c r="I3" t="s">
        <v>17</v>
      </c>
      <c r="J3">
        <v>5.8786785</v>
      </c>
    </row>
    <row r="4">
      <c r="A4" s="19" t="s">
        <v>18</v>
      </c>
      <c r="B4" s="19" t="s">
        <v>19</v>
      </c>
      <c r="C4" s="20" t="s">
        <v>20</v>
      </c>
      <c r="D4" t="s">
        <v>21</v>
      </c>
      <c r="F4" t="str">
        <f>IFERROR(__xludf.DUMMYFUNCTION("""COMPUTED_VALUE"""),"Albanian Lek")</f>
        <v>Albanian Lek</v>
      </c>
      <c r="G4" t="str">
        <f>IFERROR(__xludf.DUMMYFUNCTION("""COMPUTED_VALUE"""),"ALL")</f>
        <v>ALL</v>
      </c>
      <c r="I4" t="s">
        <v>22</v>
      </c>
      <c r="J4">
        <v>3.6725</v>
      </c>
    </row>
    <row r="5">
      <c r="A5" s="19" t="s">
        <v>23</v>
      </c>
      <c r="B5" s="19" t="s">
        <v>24</v>
      </c>
      <c r="C5" s="19" t="s">
        <v>25</v>
      </c>
      <c r="D5" t="s">
        <v>26</v>
      </c>
      <c r="F5" t="str">
        <f>IFERROR(__xludf.DUMMYFUNCTION("""COMPUTED_VALUE"""),"Algerian Dinar")</f>
        <v>Algerian Dinar</v>
      </c>
      <c r="G5" t="str">
        <f>IFERROR(__xludf.DUMMYFUNCTION("""COMPUTED_VALUE"""),"DZD")</f>
        <v>DZD</v>
      </c>
      <c r="I5" t="s">
        <v>27</v>
      </c>
      <c r="J5">
        <v>65.91758473</v>
      </c>
    </row>
    <row r="6">
      <c r="A6" s="19" t="s">
        <v>28</v>
      </c>
      <c r="B6" s="19" t="s">
        <v>29</v>
      </c>
      <c r="C6" s="20" t="s">
        <v>30</v>
      </c>
      <c r="D6" t="s">
        <v>31</v>
      </c>
      <c r="F6" t="str">
        <f>IFERROR(__xludf.DUMMYFUNCTION("""COMPUTED_VALUE"""),"Algorand")</f>
        <v>Algorand</v>
      </c>
      <c r="G6" t="str">
        <f>IFERROR(__xludf.DUMMYFUNCTION("""COMPUTED_VALUE"""),"ALGO")</f>
        <v>ALGO</v>
      </c>
      <c r="I6" t="s">
        <v>32</v>
      </c>
      <c r="J6">
        <v>16.35728791</v>
      </c>
    </row>
    <row r="7">
      <c r="A7" s="19" t="s">
        <v>33</v>
      </c>
      <c r="B7" s="19" t="s">
        <v>34</v>
      </c>
      <c r="C7" s="19" t="s">
        <v>34</v>
      </c>
      <c r="D7" t="s">
        <v>35</v>
      </c>
      <c r="F7" t="str">
        <f>IFERROR(__xludf.DUMMYFUNCTION("""COMPUTED_VALUE"""),"Angolan Kwanza")</f>
        <v>Angolan Kwanza</v>
      </c>
      <c r="G7" t="str">
        <f>IFERROR(__xludf.DUMMYFUNCTION("""COMPUTED_VALUE"""),"AOA")</f>
        <v>AOA</v>
      </c>
      <c r="I7" t="s">
        <v>36</v>
      </c>
      <c r="J7">
        <v>2.27317891</v>
      </c>
    </row>
    <row r="8">
      <c r="A8" s="19" t="s">
        <v>37</v>
      </c>
      <c r="B8" s="19" t="s">
        <v>38</v>
      </c>
      <c r="C8" s="19" t="s">
        <v>39</v>
      </c>
      <c r="D8" t="s">
        <v>40</v>
      </c>
      <c r="F8" t="str">
        <f>IFERROR(__xludf.DUMMYFUNCTION("""COMPUTED_VALUE"""),"Argentine Peso")</f>
        <v>Argentine Peso</v>
      </c>
      <c r="G8" t="str">
        <f>IFERROR(__xludf.DUMMYFUNCTION("""COMPUTED_VALUE"""),"ARS")</f>
        <v>ARS</v>
      </c>
      <c r="I8" t="s">
        <v>41</v>
      </c>
      <c r="J8">
        <v>12.57685618</v>
      </c>
    </row>
    <row r="9">
      <c r="A9" s="19" t="s">
        <v>42</v>
      </c>
      <c r="B9" s="19" t="s">
        <v>43</v>
      </c>
      <c r="C9" s="19" t="s">
        <v>11</v>
      </c>
      <c r="D9" t="s">
        <v>44</v>
      </c>
      <c r="F9" t="str">
        <f>IFERROR(__xludf.DUMMYFUNCTION("""COMPUTED_VALUE"""),"Armenian Dram")</f>
        <v>Armenian Dram</v>
      </c>
      <c r="G9" t="str">
        <f>IFERROR(__xludf.DUMMYFUNCTION("""COMPUTED_VALUE"""),"AMD")</f>
        <v>AMD</v>
      </c>
      <c r="I9" t="s">
        <v>45</v>
      </c>
      <c r="J9">
        <v>81.18405552</v>
      </c>
    </row>
    <row r="10">
      <c r="A10" s="19" t="s">
        <v>46</v>
      </c>
      <c r="B10" s="19" t="s">
        <v>47</v>
      </c>
      <c r="C10" s="19" t="s">
        <v>48</v>
      </c>
      <c r="D10" t="s">
        <v>49</v>
      </c>
      <c r="F10" t="str">
        <f>IFERROR(__xludf.DUMMYFUNCTION("""COMPUTED_VALUE"""),"Aruban or Dutch Guilder")</f>
        <v>Aruban or Dutch Guilder</v>
      </c>
      <c r="G10" t="str">
        <f>IFERROR(__xludf.DUMMYFUNCTION("""COMPUTED_VALUE"""),"AWG")</f>
        <v>AWG</v>
      </c>
      <c r="I10" t="s">
        <v>50</v>
      </c>
      <c r="J10">
        <v>365.69280193</v>
      </c>
    </row>
    <row r="11">
      <c r="A11" s="19" t="s">
        <v>51</v>
      </c>
      <c r="B11" s="19" t="s">
        <v>52</v>
      </c>
      <c r="C11" s="19" t="s">
        <v>53</v>
      </c>
      <c r="D11" t="s">
        <v>54</v>
      </c>
      <c r="F11" t="str">
        <f>IFERROR(__xludf.DUMMYFUNCTION("""COMPUTED_VALUE"""),"Australian Dollar")</f>
        <v>Australian Dollar</v>
      </c>
      <c r="G11" t="str">
        <f>IFERROR(__xludf.DUMMYFUNCTION("""COMPUTED_VALUE"""),"AUD")</f>
        <v>AUD</v>
      </c>
      <c r="I11" t="s">
        <v>55</v>
      </c>
      <c r="J11">
        <v>2545.98103687</v>
      </c>
    </row>
    <row r="12">
      <c r="A12" s="19" t="s">
        <v>56</v>
      </c>
      <c r="B12" s="19" t="s">
        <v>57</v>
      </c>
      <c r="C12" s="19" t="s">
        <v>11</v>
      </c>
      <c r="D12" t="s">
        <v>58</v>
      </c>
      <c r="F12" t="str">
        <f>IFERROR(__xludf.DUMMYFUNCTION("""COMPUTED_VALUE"""),"Azerbaijan Manat")</f>
        <v>Azerbaijan Manat</v>
      </c>
      <c r="G12" t="str">
        <f>IFERROR(__xludf.DUMMYFUNCTION("""COMPUTED_VALUE"""),"AZN")</f>
        <v>AZN</v>
      </c>
      <c r="I12" t="s">
        <v>59</v>
      </c>
      <c r="J12">
        <v>1.79702303</v>
      </c>
    </row>
    <row r="13">
      <c r="A13" s="19" t="s">
        <v>60</v>
      </c>
      <c r="B13" s="19" t="s">
        <v>61</v>
      </c>
      <c r="C13" s="20" t="s">
        <v>62</v>
      </c>
      <c r="D13" t="s">
        <v>63</v>
      </c>
      <c r="F13" t="str">
        <f>IFERROR(__xludf.DUMMYFUNCTION("""COMPUTED_VALUE"""),"Bahamian Dollar")</f>
        <v>Bahamian Dollar</v>
      </c>
      <c r="G13" t="str">
        <f>IFERROR(__xludf.DUMMYFUNCTION("""COMPUTED_VALUE"""),"BSD")</f>
        <v>BSD</v>
      </c>
      <c r="I13" t="s">
        <v>64</v>
      </c>
      <c r="J13">
        <v>915.96126889</v>
      </c>
    </row>
    <row r="14">
      <c r="A14" s="19" t="s">
        <v>65</v>
      </c>
      <c r="B14" s="19" t="s">
        <v>66</v>
      </c>
      <c r="C14" s="19" t="s">
        <v>11</v>
      </c>
      <c r="D14" t="s">
        <v>67</v>
      </c>
      <c r="F14" t="str">
        <f>IFERROR(__xludf.DUMMYFUNCTION("""COMPUTED_VALUE"""),"Bahraini Dinar")</f>
        <v>Bahraini Dinar</v>
      </c>
      <c r="G14" t="str">
        <f>IFERROR(__xludf.DUMMYFUNCTION("""COMPUTED_VALUE"""),"BHD")</f>
        <v>BHD</v>
      </c>
      <c r="I14" t="s">
        <v>68</v>
      </c>
      <c r="J14">
        <v>7.44853068</v>
      </c>
    </row>
    <row r="15">
      <c r="A15" s="19" t="s">
        <v>69</v>
      </c>
      <c r="B15" s="19" t="s">
        <v>70</v>
      </c>
      <c r="C15" s="19" t="s">
        <v>71</v>
      </c>
      <c r="D15" t="s">
        <v>72</v>
      </c>
      <c r="F15" t="str">
        <f>IFERROR(__xludf.DUMMYFUNCTION("""COMPUTED_VALUE"""),"Bangladeshi Taka")</f>
        <v>Bangladeshi Taka</v>
      </c>
      <c r="G15" t="str">
        <f>IFERROR(__xludf.DUMMYFUNCTION("""COMPUTED_VALUE"""),"BDT")</f>
        <v>BDT</v>
      </c>
      <c r="I15" t="s">
        <v>73</v>
      </c>
      <c r="J15">
        <v>1.78978322</v>
      </c>
    </row>
    <row r="16">
      <c r="A16" s="19" t="s">
        <v>74</v>
      </c>
      <c r="B16" s="19" t="s">
        <v>75</v>
      </c>
      <c r="C16" s="19" t="s">
        <v>76</v>
      </c>
      <c r="D16" t="s">
        <v>77</v>
      </c>
      <c r="F16" t="str">
        <f>IFERROR(__xludf.DUMMYFUNCTION("""COMPUTED_VALUE"""),"Barbadian or Bajan Dollar")</f>
        <v>Barbadian or Bajan Dollar</v>
      </c>
      <c r="G16" t="str">
        <f>IFERROR(__xludf.DUMMYFUNCTION("""COMPUTED_VALUE"""),"BBD")</f>
        <v>BBD</v>
      </c>
      <c r="I16" t="s">
        <v>78</v>
      </c>
      <c r="J16">
        <v>0.57600434</v>
      </c>
    </row>
    <row r="17">
      <c r="A17" s="19" t="s">
        <v>79</v>
      </c>
      <c r="B17" s="19" t="s">
        <v>80</v>
      </c>
      <c r="C17" s="19" t="s">
        <v>11</v>
      </c>
      <c r="D17" t="s">
        <v>81</v>
      </c>
      <c r="F17" t="str">
        <f>IFERROR(__xludf.DUMMYFUNCTION("""COMPUTED_VALUE"""),"Belarusian Ruble")</f>
        <v>Belarusian Ruble</v>
      </c>
      <c r="G17" t="str">
        <f>IFERROR(__xludf.DUMMYFUNCTION("""COMPUTED_VALUE"""),"BYN")</f>
        <v>BYN</v>
      </c>
      <c r="I17" t="s">
        <v>82</v>
      </c>
      <c r="J17">
        <v>12.80874934</v>
      </c>
    </row>
    <row r="18">
      <c r="A18" s="19" t="s">
        <v>83</v>
      </c>
      <c r="B18" s="19" t="s">
        <v>84</v>
      </c>
      <c r="C18" s="19" t="s">
        <v>85</v>
      </c>
      <c r="D18" t="s">
        <v>86</v>
      </c>
      <c r="F18" t="str">
        <f>IFERROR(__xludf.DUMMYFUNCTION("""COMPUTED_VALUE"""),"Belarusian Ruble")</f>
        <v>Belarusian Ruble</v>
      </c>
      <c r="G18" t="str">
        <f>IFERROR(__xludf.DUMMYFUNCTION("""COMPUTED_VALUE"""),"BYR")</f>
        <v>BYR</v>
      </c>
      <c r="I18" t="s">
        <v>87</v>
      </c>
      <c r="J18">
        <v>1486.03054636</v>
      </c>
    </row>
    <row r="19">
      <c r="A19" s="19" t="s">
        <v>83</v>
      </c>
      <c r="B19" s="19" t="s">
        <v>88</v>
      </c>
      <c r="C19" s="19" t="s">
        <v>85</v>
      </c>
      <c r="D19" t="s">
        <v>89</v>
      </c>
      <c r="F19" t="str">
        <f>IFERROR(__xludf.DUMMYFUNCTION("""COMPUTED_VALUE"""),"Belizean Dollar")</f>
        <v>Belizean Dollar</v>
      </c>
      <c r="G19" t="str">
        <f>IFERROR(__xludf.DUMMYFUNCTION("""COMPUTED_VALUE"""),"BZD")</f>
        <v>BZD</v>
      </c>
      <c r="I19" t="s">
        <v>90</v>
      </c>
      <c r="J19">
        <v>0.81383818</v>
      </c>
    </row>
    <row r="20">
      <c r="A20" s="19" t="s">
        <v>91</v>
      </c>
      <c r="B20" s="19" t="s">
        <v>92</v>
      </c>
      <c r="C20" s="19" t="s">
        <v>93</v>
      </c>
      <c r="D20" t="s">
        <v>94</v>
      </c>
      <c r="F20" t="str">
        <f>IFERROR(__xludf.DUMMYFUNCTION("""COMPUTED_VALUE"""),"Bermudian Dollar")</f>
        <v>Bermudian Dollar</v>
      </c>
      <c r="G20" t="str">
        <f>IFERROR(__xludf.DUMMYFUNCTION("""COMPUTED_VALUE"""),"BMD")</f>
        <v>BMD</v>
      </c>
      <c r="I20" t="s">
        <v>95</v>
      </c>
      <c r="J20">
        <v>11.93524008</v>
      </c>
    </row>
    <row r="21">
      <c r="A21" s="19" t="s">
        <v>96</v>
      </c>
      <c r="B21" s="19" t="s">
        <v>97</v>
      </c>
      <c r="C21" s="19" t="s">
        <v>11</v>
      </c>
      <c r="D21" t="s">
        <v>98</v>
      </c>
      <c r="F21" t="str">
        <f>IFERROR(__xludf.DUMMYFUNCTION("""COMPUTED_VALUE"""),"Bhutanese Ngultrum")</f>
        <v>Bhutanese Ngultrum</v>
      </c>
      <c r="G21" t="str">
        <f>IFERROR(__xludf.DUMMYFUNCTION("""COMPUTED_VALUE"""),"BTN")</f>
        <v>BTN</v>
      </c>
      <c r="I21" t="s">
        <v>99</v>
      </c>
      <c r="J21">
        <v>1.42199701</v>
      </c>
    </row>
    <row r="22">
      <c r="A22" s="19" t="s">
        <v>100</v>
      </c>
      <c r="B22" s="19" t="s">
        <v>101</v>
      </c>
      <c r="C22" s="19" t="s">
        <v>102</v>
      </c>
      <c r="D22" t="s">
        <v>103</v>
      </c>
      <c r="F22" t="str">
        <f>IFERROR(__xludf.DUMMYFUNCTION("""COMPUTED_VALUE"""),"Bitcoin")</f>
        <v>Bitcoin</v>
      </c>
      <c r="G22" t="str">
        <f>IFERROR(__xludf.DUMMYFUNCTION("""COMPUTED_VALUE"""),"BTC")</f>
        <v>BTC</v>
      </c>
      <c r="I22" t="s">
        <v>104</v>
      </c>
      <c r="J22">
        <v>0.15638769</v>
      </c>
    </row>
    <row r="23">
      <c r="A23" s="19" t="s">
        <v>105</v>
      </c>
      <c r="B23" s="19" t="s">
        <v>106</v>
      </c>
      <c r="C23" s="19" t="s">
        <v>107</v>
      </c>
      <c r="D23" t="s">
        <v>108</v>
      </c>
      <c r="F23" t="str">
        <f>IFERROR(__xludf.DUMMYFUNCTION("""COMPUTED_VALUE"""),"Bolivian Bolíviano")</f>
        <v>Bolivian Bolíviano</v>
      </c>
      <c r="G23" t="str">
        <f>IFERROR(__xludf.DUMMYFUNCTION("""COMPUTED_VALUE"""),"BOB")</f>
        <v>BOB</v>
      </c>
      <c r="I23" t="s">
        <v>109</v>
      </c>
      <c r="J23">
        <v>1.79</v>
      </c>
    </row>
    <row r="24">
      <c r="A24" s="19" t="s">
        <v>110</v>
      </c>
      <c r="B24" s="19" t="s">
        <v>111</v>
      </c>
      <c r="C24" s="19" t="s">
        <v>112</v>
      </c>
      <c r="D24" t="s">
        <v>113</v>
      </c>
      <c r="F24" t="str">
        <f>IFERROR(__xludf.DUMMYFUNCTION("""COMPUTED_VALUE"""),"Bosnian Convertible Mark")</f>
        <v>Bosnian Convertible Mark</v>
      </c>
      <c r="G24" t="str">
        <f>IFERROR(__xludf.DUMMYFUNCTION("""COMPUTED_VALUE"""),"BAM")</f>
        <v>BAM</v>
      </c>
      <c r="I24" t="s">
        <v>114</v>
      </c>
      <c r="J24">
        <v>1.19384835</v>
      </c>
    </row>
    <row r="25">
      <c r="A25" s="19" t="s">
        <v>115</v>
      </c>
      <c r="B25" s="19" t="s">
        <v>116</v>
      </c>
      <c r="C25" s="19" t="s">
        <v>117</v>
      </c>
      <c r="D25" t="s">
        <v>118</v>
      </c>
      <c r="F25" t="str">
        <f>IFERROR(__xludf.DUMMYFUNCTION("""COMPUTED_VALUE"""),"Botswana Pula")</f>
        <v>Botswana Pula</v>
      </c>
      <c r="G25" t="str">
        <f>IFERROR(__xludf.DUMMYFUNCTION("""COMPUTED_VALUE"""),"BWP")</f>
        <v>BWP</v>
      </c>
      <c r="I25" t="s">
        <v>119</v>
      </c>
      <c r="J25">
        <v>8499.9963304</v>
      </c>
    </row>
    <row r="26">
      <c r="A26" s="19" t="s">
        <v>120</v>
      </c>
      <c r="B26" s="19" t="s">
        <v>121</v>
      </c>
      <c r="C26" s="19" t="s">
        <v>122</v>
      </c>
      <c r="D26" t="s">
        <v>123</v>
      </c>
      <c r="F26" t="str">
        <f>IFERROR(__xludf.DUMMYFUNCTION("""COMPUTED_VALUE"""),"Brazilian Real")</f>
        <v>Brazilian Real</v>
      </c>
      <c r="G26" t="str">
        <f>IFERROR(__xludf.DUMMYFUNCTION("""COMPUTED_VALUE"""),"BRL")</f>
        <v>BRL</v>
      </c>
      <c r="I26" t="s">
        <v>124</v>
      </c>
      <c r="J26">
        <v>1.69999927</v>
      </c>
    </row>
    <row r="27">
      <c r="A27" s="19" t="s">
        <v>125</v>
      </c>
      <c r="B27" s="19" t="s">
        <v>126</v>
      </c>
      <c r="C27" s="19" t="s">
        <v>127</v>
      </c>
      <c r="D27" t="s">
        <v>128</v>
      </c>
      <c r="F27" t="str">
        <f>IFERROR(__xludf.DUMMYFUNCTION("""COMPUTED_VALUE"""),"British Pound")</f>
        <v>British Pound</v>
      </c>
      <c r="G27" t="str">
        <f>IFERROR(__xludf.DUMMYFUNCTION("""COMPUTED_VALUE"""),"GBP")</f>
        <v>GBP</v>
      </c>
      <c r="I27" t="s">
        <v>129</v>
      </c>
      <c r="J27">
        <v>1402.98484079</v>
      </c>
    </row>
    <row r="28">
      <c r="A28" s="19" t="s">
        <v>130</v>
      </c>
      <c r="B28" s="19" t="s">
        <v>131</v>
      </c>
      <c r="C28" s="19" t="s">
        <v>132</v>
      </c>
      <c r="D28" t="s">
        <v>133</v>
      </c>
      <c r="F28" t="str">
        <f>IFERROR(__xludf.DUMMYFUNCTION("""COMPUTED_VALUE"""),"Bruneian Dollar")</f>
        <v>Bruneian Dollar</v>
      </c>
      <c r="G28" t="str">
        <f>IFERROR(__xludf.DUMMYFUNCTION("""COMPUTED_VALUE"""),"BND")</f>
        <v>BND</v>
      </c>
      <c r="I28" t="s">
        <v>134</v>
      </c>
      <c r="J28">
        <v>1.69642381</v>
      </c>
    </row>
    <row r="29">
      <c r="A29" s="19" t="s">
        <v>135</v>
      </c>
      <c r="B29" s="19" t="s">
        <v>136</v>
      </c>
      <c r="C29" s="19" t="s">
        <v>11</v>
      </c>
      <c r="D29" t="s">
        <v>137</v>
      </c>
      <c r="F29" t="str">
        <f>IFERROR(__xludf.DUMMYFUNCTION("""COMPUTED_VALUE"""),"Bulgarian Lev")</f>
        <v>Bulgarian Lev</v>
      </c>
      <c r="G29" t="str">
        <f>IFERROR(__xludf.DUMMYFUNCTION("""COMPUTED_VALUE"""),"BGN")</f>
        <v>BGN</v>
      </c>
      <c r="I29" t="s">
        <v>138</v>
      </c>
      <c r="J29">
        <v>15.22413953</v>
      </c>
    </row>
    <row r="30">
      <c r="A30" s="19" t="s">
        <v>139</v>
      </c>
      <c r="B30" s="19" t="s">
        <v>140</v>
      </c>
      <c r="C30" s="19" t="s">
        <v>141</v>
      </c>
      <c r="D30" t="s">
        <v>143</v>
      </c>
      <c r="F30" t="str">
        <f>IFERROR(__xludf.DUMMYFUNCTION("""COMPUTED_VALUE"""),"Burmese Kyat")</f>
        <v>Burmese Kyat</v>
      </c>
      <c r="G30" t="str">
        <f>IFERROR(__xludf.DUMMYFUNCTION("""COMPUTED_VALUE"""),"MMK")</f>
        <v>MMK</v>
      </c>
      <c r="I30" t="s">
        <v>144</v>
      </c>
      <c r="J30">
        <v>2.0</v>
      </c>
    </row>
    <row r="31">
      <c r="A31" s="19" t="s">
        <v>145</v>
      </c>
      <c r="B31" s="19" t="s">
        <v>146</v>
      </c>
      <c r="C31" s="19" t="s">
        <v>147</v>
      </c>
      <c r="D31" t="s">
        <v>148</v>
      </c>
      <c r="F31" t="str">
        <f>IFERROR(__xludf.DUMMYFUNCTION("""COMPUTED_VALUE"""),"Burundian Franc")</f>
        <v>Burundian Franc</v>
      </c>
      <c r="G31" t="str">
        <f>IFERROR(__xludf.DUMMYFUNCTION("""COMPUTED_VALUE"""),"BIF")</f>
        <v>BIF</v>
      </c>
      <c r="I31" t="s">
        <v>149</v>
      </c>
      <c r="J31">
        <v>0.0047301105</v>
      </c>
    </row>
    <row r="32">
      <c r="A32" s="19" t="s">
        <v>150</v>
      </c>
      <c r="B32" s="19" t="s">
        <v>151</v>
      </c>
      <c r="C32" s="19" t="s">
        <v>152</v>
      </c>
      <c r="D32" t="s">
        <v>153</v>
      </c>
      <c r="F32" t="str">
        <f>IFERROR(__xludf.DUMMYFUNCTION("""COMPUTED_VALUE"""),"Cambodian Riel")</f>
        <v>Cambodian Riel</v>
      </c>
      <c r="G32" t="str">
        <f>IFERROR(__xludf.DUMMYFUNCTION("""COMPUTED_VALUE"""),"KHR")</f>
        <v>KHR</v>
      </c>
      <c r="I32" t="s">
        <v>154</v>
      </c>
      <c r="J32">
        <v>123.36114197</v>
      </c>
    </row>
    <row r="33">
      <c r="A33" s="19" t="s">
        <v>155</v>
      </c>
      <c r="B33" s="19" t="s">
        <v>156</v>
      </c>
      <c r="C33" s="19" t="s">
        <v>157</v>
      </c>
      <c r="D33" t="s">
        <v>158</v>
      </c>
      <c r="F33" t="str">
        <f>IFERROR(__xludf.DUMMYFUNCTION("""COMPUTED_VALUE"""),"Canadian Dollar")</f>
        <v>Canadian Dollar</v>
      </c>
      <c r="G33" t="str">
        <f>IFERROR(__xludf.DUMMYFUNCTION("""COMPUTED_VALUE"""),"CAD")</f>
        <v>CAD</v>
      </c>
      <c r="I33" t="s">
        <v>159</v>
      </c>
      <c r="J33">
        <v>34.9895272</v>
      </c>
    </row>
    <row r="34">
      <c r="A34" s="19" t="s">
        <v>160</v>
      </c>
      <c r="B34" s="19" t="s">
        <v>161</v>
      </c>
      <c r="C34" s="19" t="s">
        <v>11</v>
      </c>
      <c r="D34" t="s">
        <v>162</v>
      </c>
      <c r="F34" t="str">
        <f>IFERROR(__xludf.DUMMYFUNCTION("""COMPUTED_VALUE"""),"Cape Verdean Escudo")</f>
        <v>Cape Verdean Escudo</v>
      </c>
      <c r="G34" t="str">
        <f>IFERROR(__xludf.DUMMYFUNCTION("""COMPUTED_VALUE"""),"CVE")</f>
        <v>CVE</v>
      </c>
      <c r="I34" t="s">
        <v>163</v>
      </c>
      <c r="J34">
        <v>1.69642381</v>
      </c>
    </row>
    <row r="35">
      <c r="A35" s="19" t="s">
        <v>164</v>
      </c>
      <c r="B35" s="19" t="s">
        <v>165</v>
      </c>
      <c r="C35" s="19" t="s">
        <v>11</v>
      </c>
      <c r="D35" t="s">
        <v>166</v>
      </c>
      <c r="F35" t="str">
        <f>IFERROR(__xludf.DUMMYFUNCTION("""COMPUTED_VALUE"""),"Cardano")</f>
        <v>Cardano</v>
      </c>
      <c r="G35" t="str">
        <f>IFERROR(__xludf.DUMMYFUNCTION("""COMPUTED_VALUE"""),"ADA")</f>
        <v>ADA</v>
      </c>
      <c r="I35" t="s">
        <v>167</v>
      </c>
      <c r="J35">
        <v>0.376</v>
      </c>
    </row>
    <row r="36">
      <c r="A36" s="19" t="s">
        <v>168</v>
      </c>
      <c r="B36" s="19" t="s">
        <v>169</v>
      </c>
      <c r="C36" s="19" t="s">
        <v>170</v>
      </c>
      <c r="D36" t="s">
        <v>171</v>
      </c>
      <c r="F36" t="str">
        <f>IFERROR(__xludf.DUMMYFUNCTION("""COMPUTED_VALUE"""),"Caymanian Dollar")</f>
        <v>Caymanian Dollar</v>
      </c>
      <c r="G36" t="str">
        <f>IFERROR(__xludf.DUMMYFUNCTION("""COMPUTED_VALUE"""),"KYD")</f>
        <v>KYD</v>
      </c>
      <c r="I36" t="s">
        <v>172</v>
      </c>
      <c r="J36">
        <v>2957.58901196</v>
      </c>
    </row>
    <row r="37">
      <c r="A37" s="19" t="s">
        <v>173</v>
      </c>
      <c r="B37" s="19" t="s">
        <v>174</v>
      </c>
      <c r="C37" s="19" t="s">
        <v>11</v>
      </c>
      <c r="D37" t="s">
        <v>175</v>
      </c>
      <c r="F37" t="str">
        <f>IFERROR(__xludf.DUMMYFUNCTION("""COMPUTED_VALUE"""),"Central African CFA Franc BEAC")</f>
        <v>Central African CFA Franc BEAC</v>
      </c>
      <c r="G37" t="str">
        <f>IFERROR(__xludf.DUMMYFUNCTION("""COMPUTED_VALUE"""),"XAF")</f>
        <v>XAF</v>
      </c>
      <c r="I37" t="s">
        <v>176</v>
      </c>
      <c r="J37">
        <v>1.0</v>
      </c>
    </row>
    <row r="38">
      <c r="A38" s="19" t="s">
        <v>177</v>
      </c>
      <c r="B38" s="19" t="s">
        <v>178</v>
      </c>
      <c r="C38" s="19" t="s">
        <v>179</v>
      </c>
      <c r="D38" t="s">
        <v>180</v>
      </c>
      <c r="F38" t="str">
        <f>IFERROR(__xludf.DUMMYFUNCTION("""COMPUTED_VALUE"""),"CFA Franc")</f>
        <v>CFA Franc</v>
      </c>
      <c r="G38" t="str">
        <f>IFERROR(__xludf.DUMMYFUNCTION("""COMPUTED_VALUE"""),"XOF")</f>
        <v>XOF</v>
      </c>
      <c r="I38" t="s">
        <v>181</v>
      </c>
      <c r="J38">
        <v>0.0016979747</v>
      </c>
    </row>
    <row r="39">
      <c r="A39" s="19" t="s">
        <v>182</v>
      </c>
      <c r="B39" s="19" t="s">
        <v>183</v>
      </c>
      <c r="C39" s="19" t="s">
        <v>179</v>
      </c>
      <c r="D39" t="s">
        <v>184</v>
      </c>
      <c r="F39" t="str">
        <f>IFERROR(__xludf.DUMMYFUNCTION("""COMPUTED_VALUE"""),"CFP Franc")</f>
        <v>CFP Franc</v>
      </c>
      <c r="G39" t="str">
        <f>IFERROR(__xludf.DUMMYFUNCTION("""COMPUTED_VALUE"""),"XPF")</f>
        <v>XPF</v>
      </c>
      <c r="I39" t="s">
        <v>185</v>
      </c>
      <c r="J39">
        <v>1.28208222</v>
      </c>
    </row>
    <row r="40">
      <c r="A40" s="19" t="s">
        <v>186</v>
      </c>
      <c r="B40" s="19" t="s">
        <v>187</v>
      </c>
      <c r="C40" s="19" t="s">
        <v>188</v>
      </c>
      <c r="D40" t="s">
        <v>189</v>
      </c>
      <c r="F40" t="str">
        <f>IFERROR(__xludf.DUMMYFUNCTION("""COMPUTED_VALUE"""),"Chainlink")</f>
        <v>Chainlink</v>
      </c>
      <c r="G40" t="str">
        <f>IFERROR(__xludf.DUMMYFUNCTION("""COMPUTED_VALUE"""),"LINK")</f>
        <v>LINK</v>
      </c>
      <c r="I40" t="s">
        <v>190</v>
      </c>
      <c r="J40">
        <v>12.01449688</v>
      </c>
    </row>
    <row r="41">
      <c r="A41" s="19" t="s">
        <v>191</v>
      </c>
      <c r="B41" s="19" t="s">
        <v>192</v>
      </c>
      <c r="C41" s="19" t="s">
        <v>192</v>
      </c>
      <c r="D41" t="s">
        <v>193</v>
      </c>
      <c r="F41" t="str">
        <f>IFERROR(__xludf.DUMMYFUNCTION("""COMPUTED_VALUE"""),"Chilean Peso")</f>
        <v>Chilean Peso</v>
      </c>
      <c r="G41" t="str">
        <f>IFERROR(__xludf.DUMMYFUNCTION("""COMPUTED_VALUE"""),"CLP")</f>
        <v>CLP</v>
      </c>
      <c r="I41" t="s">
        <v>195</v>
      </c>
      <c r="J41">
        <v>5.07691593</v>
      </c>
    </row>
    <row r="42">
      <c r="A42" s="19" t="s">
        <v>196</v>
      </c>
      <c r="B42" s="19" t="s">
        <v>197</v>
      </c>
      <c r="C42" s="19" t="s">
        <v>11</v>
      </c>
      <c r="D42" t="s">
        <v>198</v>
      </c>
      <c r="F42" t="str">
        <f>IFERROR(__xludf.DUMMYFUNCTION("""COMPUTED_VALUE"""),"Chinese Yuan Renminbi")</f>
        <v>Chinese Yuan Renminbi</v>
      </c>
      <c r="G42" t="str">
        <f>IFERROR(__xludf.DUMMYFUNCTION("""COMPUTED_VALUE"""),"CNY")</f>
        <v>CNY</v>
      </c>
      <c r="I42" t="s">
        <v>199</v>
      </c>
      <c r="J42">
        <v>1.0</v>
      </c>
    </row>
    <row r="43">
      <c r="A43" s="19" t="s">
        <v>200</v>
      </c>
      <c r="B43" s="19" t="s">
        <v>201</v>
      </c>
      <c r="C43" s="19" t="s">
        <v>202</v>
      </c>
      <c r="D43" t="s">
        <v>203</v>
      </c>
      <c r="F43" t="str">
        <f>IFERROR(__xludf.DUMMYFUNCTION("""COMPUTED_VALUE"""),"Chinese Yuan Renminbi Offshore")</f>
        <v>Chinese Yuan Renminbi Offshore</v>
      </c>
      <c r="G43" t="str">
        <f>IFERROR(__xludf.DUMMYFUNCTION("""COMPUTED_VALUE"""),"CNH")</f>
        <v>CNH</v>
      </c>
      <c r="I43" t="s">
        <v>204</v>
      </c>
      <c r="J43">
        <v>0.07942624</v>
      </c>
    </row>
    <row r="44">
      <c r="A44" s="19" t="s">
        <v>205</v>
      </c>
      <c r="B44" s="19" t="s">
        <v>206</v>
      </c>
      <c r="C44" s="19" t="s">
        <v>202</v>
      </c>
      <c r="D44" t="s">
        <v>207</v>
      </c>
      <c r="F44" t="str">
        <f>IFERROR(__xludf.DUMMYFUNCTION("""COMPUTED_VALUE"""),"Colombian Peso")</f>
        <v>Colombian Peso</v>
      </c>
      <c r="G44" t="str">
        <f>IFERROR(__xludf.DUMMYFUNCTION("""COMPUTED_VALUE"""),"COP")</f>
        <v>COP</v>
      </c>
      <c r="I44" t="s">
        <v>208</v>
      </c>
      <c r="J44">
        <v>2872.79360637</v>
      </c>
    </row>
    <row r="45">
      <c r="A45" s="19" t="s">
        <v>209</v>
      </c>
      <c r="B45" s="19" t="s">
        <v>210</v>
      </c>
      <c r="C45" s="19" t="s">
        <v>11</v>
      </c>
      <c r="D45" t="s">
        <v>211</v>
      </c>
      <c r="F45" t="str">
        <f>IFERROR(__xludf.DUMMYFUNCTION("""COMPUTED_VALUE"""),"Comorian Franc")</f>
        <v>Comorian Franc</v>
      </c>
      <c r="G45" t="str">
        <f>IFERROR(__xludf.DUMMYFUNCTION("""COMPUTED_VALUE"""),"KMF")</f>
        <v>KMF</v>
      </c>
      <c r="I45" t="s">
        <v>212</v>
      </c>
      <c r="J45">
        <v>1.5892338E-5</v>
      </c>
    </row>
    <row r="46">
      <c r="A46" s="19" t="s">
        <v>213</v>
      </c>
      <c r="B46" s="19" t="s">
        <v>214</v>
      </c>
      <c r="C46" s="19" t="s">
        <v>215</v>
      </c>
      <c r="D46" t="s">
        <v>216</v>
      </c>
      <c r="F46" t="str">
        <f>IFERROR(__xludf.DUMMYFUNCTION("""COMPUTED_VALUE"""),"Congolese Franc")</f>
        <v>Congolese Franc</v>
      </c>
      <c r="G46" t="str">
        <f>IFERROR(__xludf.DUMMYFUNCTION("""COMPUTED_VALUE"""),"CDF")</f>
        <v>CDF</v>
      </c>
      <c r="I46" t="s">
        <v>217</v>
      </c>
      <c r="J46">
        <v>16.73392546</v>
      </c>
    </row>
    <row r="47">
      <c r="A47" s="19" t="s">
        <v>218</v>
      </c>
      <c r="B47" s="19" t="s">
        <v>219</v>
      </c>
      <c r="C47" s="19" t="s">
        <v>220</v>
      </c>
      <c r="D47" t="s">
        <v>221</v>
      </c>
      <c r="F47" t="str">
        <f>IFERROR(__xludf.DUMMYFUNCTION("""COMPUTED_VALUE"""),"Cosmos")</f>
        <v>Cosmos</v>
      </c>
      <c r="G47" t="str">
        <f>IFERROR(__xludf.DUMMYFUNCTION("""COMPUTED_VALUE"""),"ATOM")</f>
        <v>ATOM</v>
      </c>
      <c r="I47" t="s">
        <v>222</v>
      </c>
      <c r="J47">
        <v>2.78075627</v>
      </c>
    </row>
    <row r="48">
      <c r="A48" s="19" t="s">
        <v>223</v>
      </c>
      <c r="B48" s="19" t="s">
        <v>224</v>
      </c>
      <c r="C48" s="19" t="s">
        <v>224</v>
      </c>
      <c r="D48" t="s">
        <v>225</v>
      </c>
      <c r="F48" t="str">
        <f>IFERROR(__xludf.DUMMYFUNCTION("""COMPUTED_VALUE"""),"Costa Rican Colon")</f>
        <v>Costa Rican Colon</v>
      </c>
      <c r="G48" t="str">
        <f>IFERROR(__xludf.DUMMYFUNCTION("""COMPUTED_VALUE"""),"CRC")</f>
        <v>CRC</v>
      </c>
      <c r="I48" t="s">
        <v>226</v>
      </c>
      <c r="J48">
        <v>95.4199614</v>
      </c>
    </row>
    <row r="49">
      <c r="A49" s="19" t="s">
        <v>227</v>
      </c>
      <c r="B49" s="19" t="s">
        <v>228</v>
      </c>
      <c r="C49" s="19" t="s">
        <v>229</v>
      </c>
      <c r="D49" t="s">
        <v>231</v>
      </c>
      <c r="F49" t="str">
        <f>IFERROR(__xludf.DUMMYFUNCTION("""COMPUTED_VALUE"""),"Croatian Kuna")</f>
        <v>Croatian Kuna</v>
      </c>
      <c r="G49" t="str">
        <f>IFERROR(__xludf.DUMMYFUNCTION("""COMPUTED_VALUE"""),"HRK")</f>
        <v>HRK</v>
      </c>
      <c r="I49" t="s">
        <v>232</v>
      </c>
      <c r="J49">
        <v>3816900.64545063</v>
      </c>
    </row>
    <row r="50">
      <c r="A50" s="19" t="s">
        <v>233</v>
      </c>
      <c r="B50" s="19" t="s">
        <v>234</v>
      </c>
      <c r="C50" s="19" t="s">
        <v>235</v>
      </c>
      <c r="D50" t="s">
        <v>236</v>
      </c>
      <c r="F50" t="str">
        <f>IFERROR(__xludf.DUMMYFUNCTION("""COMPUTED_VALUE"""),"Cuban Convertible Peso")</f>
        <v>Cuban Convertible Peso</v>
      </c>
      <c r="G50" t="str">
        <f>IFERROR(__xludf.DUMMYFUNCTION("""COMPUTED_VALUE"""),"CUC")</f>
        <v>CUC</v>
      </c>
      <c r="I50" t="s">
        <v>237</v>
      </c>
      <c r="J50">
        <v>1.00102323</v>
      </c>
    </row>
    <row r="51">
      <c r="A51" s="19" t="s">
        <v>238</v>
      </c>
      <c r="B51" s="19" t="s">
        <v>239</v>
      </c>
      <c r="C51" s="19" t="s">
        <v>240</v>
      </c>
      <c r="D51" t="s">
        <v>241</v>
      </c>
      <c r="F51" t="str">
        <f>IFERROR(__xludf.DUMMYFUNCTION("""COMPUTED_VALUE"""),"Cuban Peso")</f>
        <v>Cuban Peso</v>
      </c>
      <c r="G51" t="str">
        <f>IFERROR(__xludf.DUMMYFUNCTION("""COMPUTED_VALUE"""),"CUP")</f>
        <v>CUP</v>
      </c>
      <c r="I51" t="s">
        <v>242</v>
      </c>
      <c r="J51">
        <v>13.59371388</v>
      </c>
    </row>
    <row r="52">
      <c r="A52" s="19" t="s">
        <v>243</v>
      </c>
      <c r="B52" s="19" t="s">
        <v>244</v>
      </c>
      <c r="C52" s="19" t="s">
        <v>245</v>
      </c>
      <c r="D52" t="s">
        <v>246</v>
      </c>
      <c r="F52" t="str">
        <f>IFERROR(__xludf.DUMMYFUNCTION("""COMPUTED_VALUE"""),"Czech Koruna")</f>
        <v>Czech Koruna</v>
      </c>
      <c r="G52" t="str">
        <f>IFERROR(__xludf.DUMMYFUNCTION("""COMPUTED_VALUE"""),"CZK")</f>
        <v>CZK</v>
      </c>
      <c r="I52" t="s">
        <v>247</v>
      </c>
      <c r="J52">
        <v>2.90215862</v>
      </c>
    </row>
    <row r="53">
      <c r="A53" s="19" t="s">
        <v>248</v>
      </c>
      <c r="B53" s="19" t="s">
        <v>249</v>
      </c>
      <c r="C53" s="19" t="s">
        <v>250</v>
      </c>
      <c r="D53" t="s">
        <v>251</v>
      </c>
      <c r="F53" t="str">
        <f>IFERROR(__xludf.DUMMYFUNCTION("""COMPUTED_VALUE"""),"Danish Krone")</f>
        <v>Danish Krone</v>
      </c>
      <c r="G53" t="str">
        <f>IFERROR(__xludf.DUMMYFUNCTION("""COMPUTED_VALUE"""),"DKK")</f>
        <v>DKK</v>
      </c>
      <c r="I53" t="s">
        <v>252</v>
      </c>
      <c r="J53">
        <v>19612.74446479</v>
      </c>
    </row>
    <row r="54">
      <c r="A54" s="19" t="s">
        <v>253</v>
      </c>
      <c r="B54" s="19" t="s">
        <v>254</v>
      </c>
      <c r="C54" s="19" t="s">
        <v>255</v>
      </c>
      <c r="D54" t="s">
        <v>256</v>
      </c>
      <c r="F54" t="str">
        <f>IFERROR(__xludf.DUMMYFUNCTION("""COMPUTED_VALUE"""),"Djiboutian Franc")</f>
        <v>Djiboutian Franc</v>
      </c>
      <c r="G54" t="str">
        <f>IFERROR(__xludf.DUMMYFUNCTION("""COMPUTED_VALUE"""),"DJF")</f>
        <v>DJF</v>
      </c>
      <c r="I54" t="s">
        <v>257</v>
      </c>
      <c r="J54">
        <v>2.01469717</v>
      </c>
    </row>
    <row r="55">
      <c r="A55" s="19" t="s">
        <v>258</v>
      </c>
      <c r="B55" s="19" t="s">
        <v>259</v>
      </c>
      <c r="C55" s="19" t="s">
        <v>260</v>
      </c>
      <c r="D55" t="s">
        <v>261</v>
      </c>
      <c r="F55" t="str">
        <f>IFERROR(__xludf.DUMMYFUNCTION("""COMPUTED_VALUE"""),"Dogecoin")</f>
        <v>Dogecoin</v>
      </c>
      <c r="G55" t="str">
        <f>IFERROR(__xludf.DUMMYFUNCTION("""COMPUTED_VALUE"""),"DOGE")</f>
        <v>DOGE</v>
      </c>
      <c r="I55" t="s">
        <v>262</v>
      </c>
      <c r="J55">
        <v>1.40208627</v>
      </c>
    </row>
    <row r="56">
      <c r="A56" s="19" t="s">
        <v>263</v>
      </c>
      <c r="B56" s="19" t="s">
        <v>264</v>
      </c>
      <c r="C56" s="19" t="s">
        <v>265</v>
      </c>
      <c r="D56" t="s">
        <v>266</v>
      </c>
      <c r="F56" t="str">
        <f>IFERROR(__xludf.DUMMYFUNCTION("""COMPUTED_VALUE"""),"Dominican Peso")</f>
        <v>Dominican Peso</v>
      </c>
      <c r="G56" t="str">
        <f>IFERROR(__xludf.DUMMYFUNCTION("""COMPUTED_VALUE"""),"DOP")</f>
        <v>DOP</v>
      </c>
      <c r="I56" t="s">
        <v>267</v>
      </c>
      <c r="J56">
        <v>0.68920884</v>
      </c>
    </row>
    <row r="57">
      <c r="A57" s="19" t="s">
        <v>268</v>
      </c>
      <c r="B57" s="19" t="s">
        <v>269</v>
      </c>
      <c r="C57" s="19" t="s">
        <v>270</v>
      </c>
      <c r="D57" t="s">
        <v>271</v>
      </c>
      <c r="F57" t="str">
        <f>IFERROR(__xludf.DUMMYFUNCTION("""COMPUTED_VALUE"""),"Dutch Guilder")</f>
        <v>Dutch Guilder</v>
      </c>
      <c r="G57" t="str">
        <f>IFERROR(__xludf.DUMMYFUNCTION("""COMPUTED_VALUE"""),"ANG")</f>
        <v>ANG</v>
      </c>
      <c r="I57" t="s">
        <v>272</v>
      </c>
      <c r="J57">
        <v>2272.77463372</v>
      </c>
    </row>
    <row r="58">
      <c r="A58" s="19" t="s">
        <v>273</v>
      </c>
      <c r="B58" s="19" t="s">
        <v>274</v>
      </c>
      <c r="C58" s="19" t="s">
        <v>53</v>
      </c>
      <c r="D58" t="s">
        <v>275</v>
      </c>
      <c r="F58" t="str">
        <f>IFERROR(__xludf.DUMMYFUNCTION("""COMPUTED_VALUE"""),"East Caribbean Dollar")</f>
        <v>East Caribbean Dollar</v>
      </c>
      <c r="G58" t="str">
        <f>IFERROR(__xludf.DUMMYFUNCTION("""COMPUTED_VALUE"""),"XCD")</f>
        <v>XCD</v>
      </c>
      <c r="I58" t="s">
        <v>276</v>
      </c>
      <c r="J58">
        <v>15.86824228</v>
      </c>
    </row>
    <row r="59">
      <c r="A59" s="19" t="s">
        <v>277</v>
      </c>
      <c r="B59" s="19" t="s">
        <v>278</v>
      </c>
      <c r="C59" s="19" t="s">
        <v>11</v>
      </c>
      <c r="D59" t="s">
        <v>279</v>
      </c>
      <c r="F59" t="str">
        <f>IFERROR(__xludf.DUMMYFUNCTION("""COMPUTED_VALUE"""),"Egyptian Pound")</f>
        <v>Egyptian Pound</v>
      </c>
      <c r="G59" t="str">
        <f>IFERROR(__xludf.DUMMYFUNCTION("""COMPUTED_VALUE"""),"EGP")</f>
        <v>EGP</v>
      </c>
      <c r="I59" t="s">
        <v>280</v>
      </c>
      <c r="J59">
        <v>24.33018573</v>
      </c>
    </row>
    <row r="60">
      <c r="A60" s="19" t="s">
        <v>281</v>
      </c>
      <c r="B60" s="19" t="s">
        <v>282</v>
      </c>
      <c r="C60" s="20" t="s">
        <v>132</v>
      </c>
      <c r="D60" t="s">
        <v>283</v>
      </c>
      <c r="F60" t="str">
        <f>IFERROR(__xludf.DUMMYFUNCTION("""COMPUTED_VALUE"""),"Emirati Dirham")</f>
        <v>Emirati Dirham</v>
      </c>
      <c r="G60" t="str">
        <f>IFERROR(__xludf.DUMMYFUNCTION("""COMPUTED_VALUE"""),"AED")</f>
        <v>AED</v>
      </c>
      <c r="I60" t="s">
        <v>284</v>
      </c>
      <c r="J60">
        <v>0.80780519</v>
      </c>
    </row>
    <row r="61">
      <c r="A61" s="19" t="s">
        <v>285</v>
      </c>
      <c r="B61" s="19" t="s">
        <v>286</v>
      </c>
      <c r="C61" s="20" t="s">
        <v>287</v>
      </c>
      <c r="D61" t="s">
        <v>288</v>
      </c>
      <c r="F61" t="str">
        <f>IFERROR(__xludf.DUMMYFUNCTION("""COMPUTED_VALUE"""),"Eritrean Nakfa")</f>
        <v>Eritrean Nakfa</v>
      </c>
      <c r="G61" t="str">
        <f>IFERROR(__xludf.DUMMYFUNCTION("""COMPUTED_VALUE"""),"ERN")</f>
        <v>ERN</v>
      </c>
      <c r="I61" t="s">
        <v>289</v>
      </c>
      <c r="J61">
        <v>77.27114838</v>
      </c>
    </row>
    <row r="62">
      <c r="A62" s="19" t="s">
        <v>290</v>
      </c>
      <c r="B62" s="19" t="s">
        <v>291</v>
      </c>
      <c r="C62" s="19" t="s">
        <v>292</v>
      </c>
      <c r="D62" t="s">
        <v>293</v>
      </c>
      <c r="F62" t="str">
        <f>IFERROR(__xludf.DUMMYFUNCTION("""COMPUTED_VALUE"""),"Ethereum")</f>
        <v>Ethereum</v>
      </c>
      <c r="G62" t="str">
        <f>IFERROR(__xludf.DUMMYFUNCTION("""COMPUTED_VALUE"""),"ETH")</f>
        <v>ETH</v>
      </c>
      <c r="I62" t="s">
        <v>294</v>
      </c>
      <c r="J62">
        <v>931.00863827</v>
      </c>
    </row>
    <row r="63">
      <c r="A63" s="19" t="s">
        <v>295</v>
      </c>
      <c r="B63" s="19" t="s">
        <v>296</v>
      </c>
      <c r="C63" s="19" t="s">
        <v>297</v>
      </c>
      <c r="D63" t="s">
        <v>298</v>
      </c>
      <c r="F63" t="str">
        <f>IFERROR(__xludf.DUMMYFUNCTION("""COMPUTED_VALUE"""),"Ethiopian Birr")</f>
        <v>Ethiopian Birr</v>
      </c>
      <c r="G63" t="str">
        <f>IFERROR(__xludf.DUMMYFUNCTION("""COMPUTED_VALUE"""),"ETB")</f>
        <v>ETB</v>
      </c>
      <c r="I63" t="s">
        <v>299</v>
      </c>
      <c r="J63">
        <v>6.76437097</v>
      </c>
    </row>
    <row r="64">
      <c r="A64" s="19" t="s">
        <v>301</v>
      </c>
      <c r="B64" s="19" t="s">
        <v>302</v>
      </c>
      <c r="C64" s="20" t="s">
        <v>85</v>
      </c>
      <c r="D64" t="s">
        <v>303</v>
      </c>
      <c r="F64" t="str">
        <f>IFERROR(__xludf.DUMMYFUNCTION("""COMPUTED_VALUE"""),"Falkland Island Pound")</f>
        <v>Falkland Island Pound</v>
      </c>
      <c r="G64" t="str">
        <f>IFERROR(__xludf.DUMMYFUNCTION("""COMPUTED_VALUE"""),"FKP")</f>
        <v>FKP</v>
      </c>
      <c r="I64" t="s">
        <v>304</v>
      </c>
      <c r="J64">
        <v>6.75416055</v>
      </c>
    </row>
    <row r="65">
      <c r="A65" s="19" t="s">
        <v>305</v>
      </c>
      <c r="B65" s="19" t="s">
        <v>306</v>
      </c>
      <c r="C65" s="19" t="s">
        <v>132</v>
      </c>
      <c r="D65" t="s">
        <v>307</v>
      </c>
      <c r="F65" t="str">
        <f>IFERROR(__xludf.DUMMYFUNCTION("""COMPUTED_VALUE"""),"Fijian Dollar")</f>
        <v>Fijian Dollar</v>
      </c>
      <c r="G65" t="str">
        <f>IFERROR(__xludf.DUMMYFUNCTION("""COMPUTED_VALUE"""),"FJD")</f>
        <v>FJD</v>
      </c>
      <c r="I65" t="s">
        <v>308</v>
      </c>
      <c r="J65">
        <v>0.060118019</v>
      </c>
    </row>
    <row r="66">
      <c r="A66" s="19" t="s">
        <v>309</v>
      </c>
      <c r="B66" s="19" t="s">
        <v>310</v>
      </c>
      <c r="C66" s="19" t="s">
        <v>11</v>
      </c>
      <c r="D66" t="s">
        <v>311</v>
      </c>
      <c r="F66" t="str">
        <f>IFERROR(__xludf.DUMMYFUNCTION("""COMPUTED_VALUE"""),"Gambian Dalasi")</f>
        <v>Gambian Dalasi</v>
      </c>
      <c r="G66" t="str">
        <f>IFERROR(__xludf.DUMMYFUNCTION("""COMPUTED_VALUE"""),"GMD")</f>
        <v>GMD</v>
      </c>
      <c r="I66" t="s">
        <v>312</v>
      </c>
      <c r="J66">
        <v>3162.14731414</v>
      </c>
    </row>
    <row r="67">
      <c r="A67" s="19" t="s">
        <v>313</v>
      </c>
      <c r="B67" s="19" t="s">
        <v>314</v>
      </c>
      <c r="C67" s="19" t="s">
        <v>315</v>
      </c>
      <c r="D67" t="s">
        <v>316</v>
      </c>
      <c r="F67" t="str">
        <f>IFERROR(__xludf.DUMMYFUNCTION("""COMPUTED_VALUE"""),"Georgian Lari")</f>
        <v>Georgian Lari</v>
      </c>
      <c r="G67" t="str">
        <f>IFERROR(__xludf.DUMMYFUNCTION("""COMPUTED_VALUE"""),"GEL")</f>
        <v>GEL</v>
      </c>
      <c r="I67" t="s">
        <v>317</v>
      </c>
      <c r="J67">
        <v>453.81398614</v>
      </c>
    </row>
    <row r="68">
      <c r="A68" s="19" t="s">
        <v>318</v>
      </c>
      <c r="B68" s="19" t="s">
        <v>319</v>
      </c>
      <c r="C68" s="19" t="s">
        <v>320</v>
      </c>
      <c r="D68" t="s">
        <v>321</v>
      </c>
      <c r="F68" t="str">
        <f>IFERROR(__xludf.DUMMYFUNCTION("""COMPUTED_VALUE"""),"Ghanaian Cedi")</f>
        <v>Ghanaian Cedi</v>
      </c>
      <c r="G68" t="str">
        <f>IFERROR(__xludf.DUMMYFUNCTION("""COMPUTED_VALUE"""),"GHS")</f>
        <v>GHS</v>
      </c>
      <c r="I68" t="s">
        <v>322</v>
      </c>
      <c r="J68">
        <v>18.3732161</v>
      </c>
    </row>
    <row r="69">
      <c r="A69" s="19" t="s">
        <v>323</v>
      </c>
      <c r="B69" s="19" t="s">
        <v>324</v>
      </c>
      <c r="C69" s="20" t="s">
        <v>325</v>
      </c>
      <c r="D69" t="s">
        <v>326</v>
      </c>
      <c r="F69" t="str">
        <f>IFERROR(__xludf.DUMMYFUNCTION("""COMPUTED_VALUE"""),"Gibraltar Pound")</f>
        <v>Gibraltar Pound</v>
      </c>
      <c r="G69" t="str">
        <f>IFERROR(__xludf.DUMMYFUNCTION("""COMPUTED_VALUE"""),"GIP")</f>
        <v>GIP</v>
      </c>
      <c r="I69" t="s">
        <v>327</v>
      </c>
      <c r="J69">
        <v>4.80976138</v>
      </c>
    </row>
    <row r="70">
      <c r="A70" s="19" t="s">
        <v>328</v>
      </c>
      <c r="B70" s="19" t="s">
        <v>329</v>
      </c>
      <c r="C70" s="19" t="s">
        <v>132</v>
      </c>
      <c r="D70" t="s">
        <v>330</v>
      </c>
      <c r="F70" t="str">
        <f>IFERROR(__xludf.DUMMYFUNCTION("""COMPUTED_VALUE"""),"Gold Ounce")</f>
        <v>Gold Ounce</v>
      </c>
      <c r="G70" t="str">
        <f>IFERROR(__xludf.DUMMYFUNCTION("""COMPUTED_VALUE"""),"XAU")</f>
        <v>XAU</v>
      </c>
      <c r="I70" t="s">
        <v>331</v>
      </c>
      <c r="J70">
        <v>546.85518539</v>
      </c>
    </row>
    <row r="71">
      <c r="A71" s="19" t="s">
        <v>332</v>
      </c>
      <c r="B71" s="19" t="s">
        <v>333</v>
      </c>
      <c r="C71" s="19" t="s">
        <v>334</v>
      </c>
      <c r="D71" t="s">
        <v>335</v>
      </c>
      <c r="F71" t="str">
        <f>IFERROR(__xludf.DUMMYFUNCTION("""COMPUTED_VALUE"""),"Guatemalan Quetzal")</f>
        <v>Guatemalan Quetzal</v>
      </c>
      <c r="G71" t="str">
        <f>IFERROR(__xludf.DUMMYFUNCTION("""COMPUTED_VALUE"""),"GTQ")</f>
        <v>GTQ</v>
      </c>
      <c r="I71" t="s">
        <v>336</v>
      </c>
      <c r="J71">
        <v>1.00065005</v>
      </c>
    </row>
    <row r="72">
      <c r="A72" s="19" t="s">
        <v>337</v>
      </c>
      <c r="B72" s="19" t="s">
        <v>338</v>
      </c>
      <c r="C72" s="19" t="s">
        <v>339</v>
      </c>
      <c r="D72" t="s">
        <v>340</v>
      </c>
      <c r="F72" t="str">
        <f>IFERROR(__xludf.DUMMYFUNCTION("""COMPUTED_VALUE"""),"Guernsey Pound")</f>
        <v>Guernsey Pound</v>
      </c>
      <c r="G72" t="str">
        <f>IFERROR(__xludf.DUMMYFUNCTION("""COMPUTED_VALUE"""),"GGP")</f>
        <v>GGP</v>
      </c>
      <c r="I72" t="s">
        <v>341</v>
      </c>
      <c r="J72">
        <v>26.51723107</v>
      </c>
    </row>
    <row r="73">
      <c r="A73" s="19" t="s">
        <v>342</v>
      </c>
      <c r="B73" s="19" t="s">
        <v>343</v>
      </c>
      <c r="C73" s="19" t="s">
        <v>132</v>
      </c>
      <c r="D73" t="s">
        <v>344</v>
      </c>
      <c r="F73" t="str">
        <f>IFERROR(__xludf.DUMMYFUNCTION("""COMPUTED_VALUE"""),"Guinean Franc")</f>
        <v>Guinean Franc</v>
      </c>
      <c r="G73" t="str">
        <f>IFERROR(__xludf.DUMMYFUNCTION("""COMPUTED_VALUE"""),"GNF")</f>
        <v>GNF</v>
      </c>
      <c r="I73" t="s">
        <v>345</v>
      </c>
      <c r="J73">
        <v>95.64463879</v>
      </c>
    </row>
    <row r="74">
      <c r="A74" s="19" t="s">
        <v>346</v>
      </c>
      <c r="B74" s="19" t="s">
        <v>347</v>
      </c>
      <c r="C74" s="19" t="s">
        <v>348</v>
      </c>
      <c r="D74" t="s">
        <v>349</v>
      </c>
      <c r="F74" t="str">
        <f>IFERROR(__xludf.DUMMYFUNCTION("""COMPUTED_VALUE"""),"Guyanese Dollar")</f>
        <v>Guyanese Dollar</v>
      </c>
      <c r="G74" t="str">
        <f>IFERROR(__xludf.DUMMYFUNCTION("""COMPUTED_VALUE"""),"GYD")</f>
        <v>GYD</v>
      </c>
      <c r="I74" t="s">
        <v>350</v>
      </c>
      <c r="J74">
        <v>0.7885274</v>
      </c>
    </row>
    <row r="75">
      <c r="A75" s="19" t="s">
        <v>351</v>
      </c>
      <c r="B75" s="19" t="s">
        <v>352</v>
      </c>
      <c r="C75" s="19" t="s">
        <v>11</v>
      </c>
      <c r="D75" t="s">
        <v>353</v>
      </c>
      <c r="F75" t="str">
        <f>IFERROR(__xludf.DUMMYFUNCTION("""COMPUTED_VALUE"""),"Haitian Gourde")</f>
        <v>Haitian Gourde</v>
      </c>
      <c r="G75" t="str">
        <f>IFERROR(__xludf.DUMMYFUNCTION("""COMPUTED_VALUE"""),"HTG")</f>
        <v>HTG</v>
      </c>
      <c r="I75" t="s">
        <v>354</v>
      </c>
      <c r="J75">
        <v>0.50764778</v>
      </c>
    </row>
    <row r="76">
      <c r="A76" s="19" t="s">
        <v>355</v>
      </c>
      <c r="B76" s="19" t="s">
        <v>356</v>
      </c>
      <c r="C76" s="19" t="s">
        <v>357</v>
      </c>
      <c r="D76" t="s">
        <v>358</v>
      </c>
      <c r="F76" t="str">
        <f>IFERROR(__xludf.DUMMYFUNCTION("""COMPUTED_VALUE"""),"Honduran Lempira")</f>
        <v>Honduran Lempira</v>
      </c>
      <c r="G76" t="str">
        <f>IFERROR(__xludf.DUMMYFUNCTION("""COMPUTED_VALUE"""),"HNL")</f>
        <v>HNL</v>
      </c>
      <c r="I76" t="s">
        <v>359</v>
      </c>
      <c r="J76">
        <v>21.01277125</v>
      </c>
    </row>
    <row r="77">
      <c r="A77" s="19" t="s">
        <v>360</v>
      </c>
      <c r="B77" s="19" t="s">
        <v>361</v>
      </c>
      <c r="C77" s="19" t="s">
        <v>25</v>
      </c>
      <c r="D77" t="s">
        <v>362</v>
      </c>
      <c r="F77" t="str">
        <f>IFERROR(__xludf.DUMMYFUNCTION("""COMPUTED_VALUE"""),"Hong Kong Dollar")</f>
        <v>Hong Kong Dollar</v>
      </c>
      <c r="G77" t="str">
        <f>IFERROR(__xludf.DUMMYFUNCTION("""COMPUTED_VALUE"""),"HKD")</f>
        <v>HKD</v>
      </c>
      <c r="I77" t="s">
        <v>363</v>
      </c>
      <c r="J77">
        <v>1.00107512</v>
      </c>
    </row>
    <row r="78">
      <c r="A78" s="19" t="s">
        <v>364</v>
      </c>
      <c r="B78" s="19" t="s">
        <v>365</v>
      </c>
      <c r="C78" s="19" t="s">
        <v>11</v>
      </c>
      <c r="D78" t="s">
        <v>366</v>
      </c>
      <c r="F78" t="str">
        <f>IFERROR(__xludf.DUMMYFUNCTION("""COMPUTED_VALUE"""),"Hungarian Forint")</f>
        <v>Hungarian Forint</v>
      </c>
      <c r="G78" t="str">
        <f>IFERROR(__xludf.DUMMYFUNCTION("""COMPUTED_VALUE"""),"HUF")</f>
        <v>HUF</v>
      </c>
      <c r="I78" t="s">
        <v>367</v>
      </c>
      <c r="J78">
        <v>0.032092651</v>
      </c>
    </row>
    <row r="79">
      <c r="A79" s="19" t="s">
        <v>368</v>
      </c>
      <c r="B79" s="19" t="s">
        <v>369</v>
      </c>
      <c r="C79" s="19" t="s">
        <v>370</v>
      </c>
      <c r="D79" t="s">
        <v>371</v>
      </c>
      <c r="F79" t="str">
        <f>IFERROR(__xludf.DUMMYFUNCTION("""COMPUTED_VALUE"""),"Icelandic Krona")</f>
        <v>Icelandic Krona</v>
      </c>
      <c r="G79" t="str">
        <f>IFERROR(__xludf.DUMMYFUNCTION("""COMPUTED_VALUE"""),"ISK")</f>
        <v>ISK</v>
      </c>
      <c r="I79" t="s">
        <v>372</v>
      </c>
      <c r="J79">
        <v>0.07818323</v>
      </c>
    </row>
    <row r="80">
      <c r="A80" s="19" t="s">
        <v>373</v>
      </c>
      <c r="B80" s="19" t="s">
        <v>374</v>
      </c>
      <c r="C80" s="20" t="s">
        <v>255</v>
      </c>
      <c r="D80" t="s">
        <v>375</v>
      </c>
      <c r="F80" t="str">
        <f>IFERROR(__xludf.DUMMYFUNCTION("""COMPUTED_VALUE"""),"IMF Special Drawing Rights")</f>
        <v>IMF Special Drawing Rights</v>
      </c>
      <c r="G80" t="str">
        <f>IFERROR(__xludf.DUMMYFUNCTION("""COMPUTED_VALUE"""),"XDR")</f>
        <v>XDR</v>
      </c>
      <c r="I80" t="s">
        <v>376</v>
      </c>
      <c r="J80">
        <v>1.69642381</v>
      </c>
    </row>
    <row r="81">
      <c r="A81" s="19" t="s">
        <v>377</v>
      </c>
      <c r="B81" s="19" t="s">
        <v>378</v>
      </c>
      <c r="C81" s="19" t="s">
        <v>379</v>
      </c>
      <c r="D81" t="s">
        <v>380</v>
      </c>
      <c r="F81" t="str">
        <f>IFERROR(__xludf.DUMMYFUNCTION("""COMPUTED_VALUE"""),"Indian Rupee")</f>
        <v>Indian Rupee</v>
      </c>
      <c r="G81" t="str">
        <f>IFERROR(__xludf.DUMMYFUNCTION("""COMPUTED_VALUE"""),"INR")</f>
        <v>INR</v>
      </c>
      <c r="I81" t="s">
        <v>381</v>
      </c>
      <c r="J81">
        <v>1555.57069942</v>
      </c>
    </row>
    <row r="82">
      <c r="A82" s="19" t="s">
        <v>382</v>
      </c>
      <c r="B82" s="19" t="s">
        <v>383</v>
      </c>
      <c r="C82" s="19" t="s">
        <v>384</v>
      </c>
      <c r="D82" t="s">
        <v>385</v>
      </c>
      <c r="F82" t="str">
        <f>IFERROR(__xludf.DUMMYFUNCTION("""COMPUTED_VALUE"""),"Indonesian Rupiah")</f>
        <v>Indonesian Rupiah</v>
      </c>
      <c r="G82" t="str">
        <f>IFERROR(__xludf.DUMMYFUNCTION("""COMPUTED_VALUE"""),"IDR")</f>
        <v>IDR</v>
      </c>
      <c r="I82" t="s">
        <v>386</v>
      </c>
      <c r="J82">
        <v>178.33716165</v>
      </c>
    </row>
    <row r="83">
      <c r="A83" s="19" t="s">
        <v>387</v>
      </c>
      <c r="B83" s="19" t="s">
        <v>388</v>
      </c>
      <c r="C83" s="19" t="s">
        <v>389</v>
      </c>
      <c r="D83" t="s">
        <v>390</v>
      </c>
      <c r="F83" t="str">
        <f>IFERROR(__xludf.DUMMYFUNCTION("""COMPUTED_VALUE"""),"Iranian Rial")</f>
        <v>Iranian Rial</v>
      </c>
      <c r="G83" t="str">
        <f>IFERROR(__xludf.DUMMYFUNCTION("""COMPUTED_VALUE"""),"IRR")</f>
        <v>IRR</v>
      </c>
      <c r="I83" t="s">
        <v>391</v>
      </c>
      <c r="J83">
        <v>6.4831493</v>
      </c>
    </row>
    <row r="84">
      <c r="A84" s="19" t="s">
        <v>392</v>
      </c>
      <c r="B84" s="19" t="s">
        <v>393</v>
      </c>
      <c r="C84" s="19" t="s">
        <v>394</v>
      </c>
      <c r="D84" t="s">
        <v>395</v>
      </c>
      <c r="F84" t="str">
        <f>IFERROR(__xludf.DUMMYFUNCTION("""COMPUTED_VALUE"""),"Iraqi Dinar")</f>
        <v>Iraqi Dinar</v>
      </c>
      <c r="G84" t="str">
        <f>IFERROR(__xludf.DUMMYFUNCTION("""COMPUTED_VALUE"""),"IQD")</f>
        <v>IQD</v>
      </c>
      <c r="I84" t="s">
        <v>396</v>
      </c>
      <c r="J84">
        <v>14.28517286</v>
      </c>
    </row>
    <row r="85">
      <c r="A85" s="19" t="s">
        <v>397</v>
      </c>
      <c r="B85" s="19" t="s">
        <v>398</v>
      </c>
      <c r="C85" s="19" t="s">
        <v>399</v>
      </c>
      <c r="D85" t="s">
        <v>400</v>
      </c>
      <c r="F85" t="str">
        <f>IFERROR(__xludf.DUMMYFUNCTION("""COMPUTED_VALUE"""),"Isle of Man Pound")</f>
        <v>Isle of Man Pound</v>
      </c>
      <c r="G85" t="str">
        <f>IFERROR(__xludf.DUMMYFUNCTION("""COMPUTED_VALUE"""),"IMP")</f>
        <v>IMP</v>
      </c>
      <c r="I85" t="s">
        <v>401</v>
      </c>
      <c r="J85">
        <v>58.16331828</v>
      </c>
    </row>
    <row r="86">
      <c r="A86" s="19" t="s">
        <v>403</v>
      </c>
      <c r="B86" s="19" t="s">
        <v>404</v>
      </c>
      <c r="C86" s="19" t="s">
        <v>132</v>
      </c>
      <c r="D86" t="s">
        <v>405</v>
      </c>
      <c r="F86" t="str">
        <f>IFERROR(__xludf.DUMMYFUNCTION("""COMPUTED_VALUE"""),"Israeli Shekel")</f>
        <v>Israeli Shekel</v>
      </c>
      <c r="G86" t="str">
        <f>IFERROR(__xludf.DUMMYFUNCTION("""COMPUTED_VALUE"""),"ILS")</f>
        <v>ILS</v>
      </c>
      <c r="I86" t="s">
        <v>406</v>
      </c>
      <c r="J86">
        <v>1.31035328</v>
      </c>
    </row>
    <row r="87">
      <c r="A87" s="19" t="s">
        <v>408</v>
      </c>
      <c r="B87" s="19" t="s">
        <v>409</v>
      </c>
      <c r="C87" s="19" t="s">
        <v>410</v>
      </c>
      <c r="D87" t="s">
        <v>411</v>
      </c>
      <c r="F87" t="str">
        <f>IFERROR(__xludf.DUMMYFUNCTION("""COMPUTED_VALUE"""),"Jamaican Dollar")</f>
        <v>Jamaican Dollar</v>
      </c>
      <c r="G87" t="str">
        <f>IFERROR(__xludf.DUMMYFUNCTION("""COMPUTED_VALUE"""),"JMD")</f>
        <v>JMD</v>
      </c>
      <c r="I87" t="s">
        <v>412</v>
      </c>
      <c r="J87">
        <v>8.86834061</v>
      </c>
    </row>
    <row r="88">
      <c r="A88" s="19" t="s">
        <v>413</v>
      </c>
      <c r="B88" s="19" t="s">
        <v>414</v>
      </c>
      <c r="C88" s="19" t="s">
        <v>415</v>
      </c>
      <c r="D88" t="s">
        <v>416</v>
      </c>
      <c r="F88" t="str">
        <f>IFERROR(__xludf.DUMMYFUNCTION("""COMPUTED_VALUE"""),"Japanese Yen")</f>
        <v>Japanese Yen</v>
      </c>
      <c r="G88" t="str">
        <f>IFERROR(__xludf.DUMMYFUNCTION("""COMPUTED_VALUE"""),"JPY")</f>
        <v>JPY</v>
      </c>
      <c r="I88" t="s">
        <v>417</v>
      </c>
      <c r="J88">
        <v>132.91296614</v>
      </c>
    </row>
    <row r="89">
      <c r="A89" s="19" t="s">
        <v>418</v>
      </c>
      <c r="B89" s="19" t="s">
        <v>419</v>
      </c>
      <c r="C89" s="19" t="s">
        <v>202</v>
      </c>
      <c r="D89" t="s">
        <v>420</v>
      </c>
      <c r="F89" t="str">
        <f>IFERROR(__xludf.DUMMYFUNCTION("""COMPUTED_VALUE"""),"Jersey Pound")</f>
        <v>Jersey Pound</v>
      </c>
      <c r="G89" t="str">
        <f>IFERROR(__xludf.DUMMYFUNCTION("""COMPUTED_VALUE"""),"JEP")</f>
        <v>JEP</v>
      </c>
      <c r="I89" t="s">
        <v>421</v>
      </c>
      <c r="J89">
        <v>13.57139051</v>
      </c>
    </row>
    <row r="90">
      <c r="A90" s="19" t="s">
        <v>422</v>
      </c>
      <c r="B90" s="19" t="s">
        <v>423</v>
      </c>
      <c r="C90" s="19" t="s">
        <v>132</v>
      </c>
      <c r="D90" t="s">
        <v>424</v>
      </c>
      <c r="F90" t="str">
        <f>IFERROR(__xludf.DUMMYFUNCTION("""COMPUTED_VALUE"""),"Jordanian Dinar")</f>
        <v>Jordanian Dinar</v>
      </c>
      <c r="G90" t="str">
        <f>IFERROR(__xludf.DUMMYFUNCTION("""COMPUTED_VALUE"""),"JOD")</f>
        <v>JOD</v>
      </c>
      <c r="I90" t="s">
        <v>425</v>
      </c>
      <c r="J90">
        <v>0.36575522</v>
      </c>
    </row>
    <row r="91">
      <c r="A91" s="19" t="s">
        <v>426</v>
      </c>
      <c r="B91" s="19" t="s">
        <v>427</v>
      </c>
      <c r="C91" s="19" t="s">
        <v>428</v>
      </c>
      <c r="D91" t="s">
        <v>429</v>
      </c>
      <c r="F91" t="str">
        <f>IFERROR(__xludf.DUMMYFUNCTION("""COMPUTED_VALUE"""),"Kazakhstani Tenge")</f>
        <v>Kazakhstani Tenge</v>
      </c>
      <c r="G91" t="str">
        <f>IFERROR(__xludf.DUMMYFUNCTION("""COMPUTED_VALUE"""),"KZT")</f>
        <v>KZT</v>
      </c>
      <c r="I91" t="s">
        <v>430</v>
      </c>
      <c r="J91">
        <v>51.15295476</v>
      </c>
    </row>
    <row r="92">
      <c r="A92" s="19" t="s">
        <v>431</v>
      </c>
      <c r="B92" s="19" t="s">
        <v>432</v>
      </c>
      <c r="C92" s="19" t="s">
        <v>433</v>
      </c>
      <c r="D92" t="s">
        <v>434</v>
      </c>
      <c r="F92" t="str">
        <f>IFERROR(__xludf.DUMMYFUNCTION("""COMPUTED_VALUE"""),"Kenyan Shilling")</f>
        <v>Kenyan Shilling</v>
      </c>
      <c r="G92" t="str">
        <f>IFERROR(__xludf.DUMMYFUNCTION("""COMPUTED_VALUE"""),"KES")</f>
        <v>KES</v>
      </c>
      <c r="I92" t="s">
        <v>435</v>
      </c>
      <c r="J92">
        <v>39.7685525</v>
      </c>
    </row>
    <row r="93">
      <c r="A93" s="19" t="s">
        <v>436</v>
      </c>
      <c r="B93" s="19" t="s">
        <v>437</v>
      </c>
      <c r="C93" s="19" t="s">
        <v>438</v>
      </c>
      <c r="D93" t="s">
        <v>439</v>
      </c>
      <c r="F93" t="str">
        <f>IFERROR(__xludf.DUMMYFUNCTION("""COMPUTED_VALUE"""),"Kyrgyzstani Som")</f>
        <v>Kyrgyzstani Som</v>
      </c>
      <c r="G93" t="str">
        <f>IFERROR(__xludf.DUMMYFUNCTION("""COMPUTED_VALUE"""),"KGS")</f>
        <v>KGS</v>
      </c>
      <c r="I93" t="s">
        <v>441</v>
      </c>
      <c r="J93">
        <v>15.67931501</v>
      </c>
    </row>
    <row r="94">
      <c r="A94" s="19" t="s">
        <v>442</v>
      </c>
      <c r="B94" s="19" t="s">
        <v>443</v>
      </c>
      <c r="C94" s="19" t="s">
        <v>444</v>
      </c>
      <c r="D94" t="s">
        <v>445</v>
      </c>
      <c r="F94" t="str">
        <f>IFERROR(__xludf.DUMMYFUNCTION("""COMPUTED_VALUE"""),"Lao Kip")</f>
        <v>Lao Kip</v>
      </c>
      <c r="G94" t="str">
        <f>IFERROR(__xludf.DUMMYFUNCTION("""COMPUTED_VALUE"""),"LAK")</f>
        <v>LAK</v>
      </c>
      <c r="I94" t="s">
        <v>446</v>
      </c>
      <c r="J94">
        <v>15.0</v>
      </c>
    </row>
    <row r="95">
      <c r="A95" s="19" t="s">
        <v>447</v>
      </c>
      <c r="B95" s="19" t="s">
        <v>448</v>
      </c>
      <c r="C95" s="20" t="s">
        <v>449</v>
      </c>
      <c r="D95" t="s">
        <v>450</v>
      </c>
      <c r="F95" t="str">
        <f>IFERROR(__xludf.DUMMYFUNCTION("""COMPUTED_VALUE"""),"Latvian Lat")</f>
        <v>Latvian Lat</v>
      </c>
      <c r="G95" t="str">
        <f>IFERROR(__xludf.DUMMYFUNCTION("""COMPUTED_VALUE"""),"LVL")</f>
        <v>LVL</v>
      </c>
      <c r="I95" t="s">
        <v>451</v>
      </c>
      <c r="J95">
        <v>144.31784592</v>
      </c>
    </row>
    <row r="96">
      <c r="A96" s="19" t="s">
        <v>452</v>
      </c>
      <c r="B96" s="19" t="s">
        <v>453</v>
      </c>
      <c r="C96" s="19" t="s">
        <v>454</v>
      </c>
      <c r="D96" t="s">
        <v>455</v>
      </c>
      <c r="F96" t="str">
        <f>IFERROR(__xludf.DUMMYFUNCTION("""COMPUTED_VALUE"""),"Lebanese Pound")</f>
        <v>Lebanese Pound</v>
      </c>
      <c r="G96" t="str">
        <f>IFERROR(__xludf.DUMMYFUNCTION("""COMPUTED_VALUE"""),"LBP")</f>
        <v>LBP</v>
      </c>
      <c r="I96" t="s">
        <v>456</v>
      </c>
      <c r="J96">
        <v>159.31960032</v>
      </c>
    </row>
    <row r="97">
      <c r="A97" s="19" t="s">
        <v>457</v>
      </c>
      <c r="B97" s="19" t="s">
        <v>458</v>
      </c>
      <c r="C97" s="19" t="s">
        <v>132</v>
      </c>
      <c r="D97" t="s">
        <v>459</v>
      </c>
      <c r="F97" t="str">
        <f>IFERROR(__xludf.DUMMYFUNCTION("""COMPUTED_VALUE"""),"Liberian Dollar")</f>
        <v>Liberian Dollar</v>
      </c>
      <c r="G97" t="str">
        <f>IFERROR(__xludf.DUMMYFUNCTION("""COMPUTED_VALUE"""),"LRD")</f>
        <v>LRD</v>
      </c>
      <c r="I97" t="s">
        <v>461</v>
      </c>
      <c r="J97">
        <v>0.14961794</v>
      </c>
    </row>
    <row r="98">
      <c r="A98" s="19" t="s">
        <v>462</v>
      </c>
      <c r="B98" s="19" t="s">
        <v>463</v>
      </c>
      <c r="C98" s="19" t="s">
        <v>11</v>
      </c>
      <c r="D98" t="s">
        <v>464</v>
      </c>
      <c r="F98" t="str">
        <f>IFERROR(__xludf.DUMMYFUNCTION("""COMPUTED_VALUE"""),"Libyan Dinar")</f>
        <v>Libyan Dinar</v>
      </c>
      <c r="G98" t="str">
        <f>IFERROR(__xludf.DUMMYFUNCTION("""COMPUTED_VALUE"""),"LYD")</f>
        <v>LYD</v>
      </c>
      <c r="I98" t="s">
        <v>465</v>
      </c>
      <c r="J98">
        <v>5.3616508E-4</v>
      </c>
    </row>
    <row r="99">
      <c r="A99" s="19" t="s">
        <v>466</v>
      </c>
      <c r="B99" s="19" t="s">
        <v>467</v>
      </c>
      <c r="C99" s="19" t="s">
        <v>468</v>
      </c>
      <c r="D99" t="s">
        <v>469</v>
      </c>
      <c r="F99" t="str">
        <f>IFERROR(__xludf.DUMMYFUNCTION("""COMPUTED_VALUE"""),"Litecoin")</f>
        <v>Litecoin</v>
      </c>
      <c r="G99" t="str">
        <f>IFERROR(__xludf.DUMMYFUNCTION("""COMPUTED_VALUE"""),"LTC")</f>
        <v>LTC</v>
      </c>
      <c r="I99" t="s">
        <v>470</v>
      </c>
      <c r="J99">
        <v>0.86736772</v>
      </c>
    </row>
    <row r="100">
      <c r="A100" s="19" t="s">
        <v>471</v>
      </c>
      <c r="B100" s="19" t="s">
        <v>472</v>
      </c>
      <c r="C100" s="20" t="s">
        <v>473</v>
      </c>
      <c r="D100" t="s">
        <v>474</v>
      </c>
      <c r="F100" t="str">
        <f>IFERROR(__xludf.DUMMYFUNCTION("""COMPUTED_VALUE"""),"Lithuanian Litas")</f>
        <v>Lithuanian Litas</v>
      </c>
      <c r="G100" t="str">
        <f>IFERROR(__xludf.DUMMYFUNCTION("""COMPUTED_VALUE"""),"LTL")</f>
        <v>LTL</v>
      </c>
      <c r="I100" t="s">
        <v>475</v>
      </c>
      <c r="J100">
        <v>0.89242371</v>
      </c>
    </row>
    <row r="101">
      <c r="A101" s="19" t="s">
        <v>476</v>
      </c>
      <c r="B101" s="19" t="s">
        <v>477</v>
      </c>
      <c r="C101" s="19" t="s">
        <v>478</v>
      </c>
      <c r="D101" t="s">
        <v>479</v>
      </c>
      <c r="F101" t="str">
        <f>IFERROR(__xludf.DUMMYFUNCTION("""COMPUTED_VALUE"""),"Macau Pataca")</f>
        <v>Macau Pataca</v>
      </c>
      <c r="G101" t="str">
        <f>IFERROR(__xludf.DUMMYFUNCTION("""COMPUTED_VALUE"""),"MOP")</f>
        <v>MOP</v>
      </c>
      <c r="I101" t="s">
        <v>480</v>
      </c>
      <c r="J101">
        <v>1.00116116</v>
      </c>
    </row>
    <row r="102">
      <c r="A102" s="19" t="s">
        <v>481</v>
      </c>
      <c r="B102" s="19" t="s">
        <v>482</v>
      </c>
      <c r="C102" s="19" t="s">
        <v>122</v>
      </c>
      <c r="D102" t="s">
        <v>483</v>
      </c>
      <c r="F102" t="str">
        <f>IFERROR(__xludf.DUMMYFUNCTION("""COMPUTED_VALUE"""),"Macedonian Denar")</f>
        <v>Macedonian Denar</v>
      </c>
      <c r="G102" t="str">
        <f>IFERROR(__xludf.DUMMYFUNCTION("""COMPUTED_VALUE"""),"MKD")</f>
        <v>MKD</v>
      </c>
      <c r="I102" t="s">
        <v>484</v>
      </c>
      <c r="J102">
        <v>1.39136443</v>
      </c>
    </row>
    <row r="103">
      <c r="A103" s="19" t="s">
        <v>485</v>
      </c>
      <c r="B103" s="19" t="s">
        <v>486</v>
      </c>
      <c r="C103" s="19" t="s">
        <v>487</v>
      </c>
      <c r="D103" t="s">
        <v>488</v>
      </c>
      <c r="F103" t="str">
        <f>IFERROR(__xludf.DUMMYFUNCTION("""COMPUTED_VALUE"""),"Malagasy Ariary")</f>
        <v>Malagasy Ariary</v>
      </c>
      <c r="G103" t="str">
        <f>IFERROR(__xludf.DUMMYFUNCTION("""COMPUTED_VALUE"""),"MGA")</f>
        <v>MGA</v>
      </c>
      <c r="I103" t="s">
        <v>489</v>
      </c>
      <c r="J103">
        <v>5.15713429</v>
      </c>
    </row>
    <row r="104">
      <c r="A104" s="19" t="s">
        <v>490</v>
      </c>
      <c r="B104" s="19" t="s">
        <v>491</v>
      </c>
      <c r="C104" s="19" t="s">
        <v>492</v>
      </c>
      <c r="D104" t="s">
        <v>493</v>
      </c>
      <c r="F104" t="str">
        <f>IFERROR(__xludf.DUMMYFUNCTION("""COMPUTED_VALUE"""),"Malawian Kwacha")</f>
        <v>Malawian Kwacha</v>
      </c>
      <c r="G104" t="str">
        <f>IFERROR(__xludf.DUMMYFUNCTION("""COMPUTED_VALUE"""),"MWK")</f>
        <v>MWK</v>
      </c>
      <c r="I104" t="s">
        <v>494</v>
      </c>
      <c r="J104">
        <v>2.21391091</v>
      </c>
    </row>
    <row r="105">
      <c r="A105" s="19" t="s">
        <v>495</v>
      </c>
      <c r="B105" s="19" t="s">
        <v>496</v>
      </c>
      <c r="C105" s="19" t="s">
        <v>497</v>
      </c>
      <c r="D105" t="s">
        <v>498</v>
      </c>
      <c r="F105" t="str">
        <f>IFERROR(__xludf.DUMMYFUNCTION("""COMPUTED_VALUE"""),"Malaysian Ringgit")</f>
        <v>Malaysian Ringgit</v>
      </c>
      <c r="G105" t="str">
        <f>IFERROR(__xludf.DUMMYFUNCTION("""COMPUTED_VALUE"""),"MYR")</f>
        <v>MYR</v>
      </c>
      <c r="I105" t="s">
        <v>499</v>
      </c>
      <c r="J105">
        <v>0.74188341</v>
      </c>
    </row>
    <row r="106">
      <c r="A106" s="19" t="s">
        <v>500</v>
      </c>
      <c r="B106" s="19" t="s">
        <v>501</v>
      </c>
      <c r="C106" s="19" t="s">
        <v>502</v>
      </c>
      <c r="D106" t="s">
        <v>503</v>
      </c>
      <c r="F106" t="str">
        <f>IFERROR(__xludf.DUMMYFUNCTION("""COMPUTED_VALUE"""),"Maldivian Rufiyaa")</f>
        <v>Maldivian Rufiyaa</v>
      </c>
      <c r="G106" t="str">
        <f>IFERROR(__xludf.DUMMYFUNCTION("""COMPUTED_VALUE"""),"MVR")</f>
        <v>MVR</v>
      </c>
      <c r="I106" t="s">
        <v>504</v>
      </c>
      <c r="J106">
        <v>32.83798195</v>
      </c>
    </row>
    <row r="107">
      <c r="A107" s="19" t="s">
        <v>505</v>
      </c>
      <c r="B107" s="19" t="s">
        <v>506</v>
      </c>
      <c r="C107" s="19" t="s">
        <v>507</v>
      </c>
      <c r="D107" t="s">
        <v>508</v>
      </c>
      <c r="F107" t="str">
        <f>IFERROR(__xludf.DUMMYFUNCTION("""COMPUTED_VALUE"""),"Mauritanian Ouguiya")</f>
        <v>Mauritanian Ouguiya</v>
      </c>
      <c r="G107" t="str">
        <f>IFERROR(__xludf.DUMMYFUNCTION("""COMPUTED_VALUE"""),"MRU")</f>
        <v>MRU</v>
      </c>
      <c r="I107" t="s">
        <v>509</v>
      </c>
      <c r="J107">
        <v>159.44994761</v>
      </c>
    </row>
    <row r="108">
      <c r="A108" s="19" t="s">
        <v>510</v>
      </c>
      <c r="B108" s="19" t="s">
        <v>511</v>
      </c>
      <c r="C108" s="19" t="s">
        <v>512</v>
      </c>
      <c r="D108" t="s">
        <v>513</v>
      </c>
      <c r="F108" t="str">
        <f>IFERROR(__xludf.DUMMYFUNCTION("""COMPUTED_VALUE"""),"Mauritian Rupee")</f>
        <v>Mauritian Rupee</v>
      </c>
      <c r="G108" t="str">
        <f>IFERROR(__xludf.DUMMYFUNCTION("""COMPUTED_VALUE"""),"MUR")</f>
        <v>MUR</v>
      </c>
      <c r="I108" t="s">
        <v>514</v>
      </c>
      <c r="J108">
        <v>1.00992082</v>
      </c>
    </row>
    <row r="109">
      <c r="A109" s="19" t="s">
        <v>515</v>
      </c>
      <c r="B109" s="19" t="s">
        <v>516</v>
      </c>
      <c r="C109" s="19" t="s">
        <v>517</v>
      </c>
      <c r="D109" t="s">
        <v>518</v>
      </c>
      <c r="F109" t="str">
        <f>IFERROR(__xludf.DUMMYFUNCTION("""COMPUTED_VALUE"""),"Mexican Peso")</f>
        <v>Mexican Peso</v>
      </c>
      <c r="G109" t="str">
        <f>IFERROR(__xludf.DUMMYFUNCTION("""COMPUTED_VALUE"""),"MXN")</f>
        <v>MXN</v>
      </c>
      <c r="I109" t="s">
        <v>520</v>
      </c>
      <c r="J109">
        <v>5.68955929</v>
      </c>
    </row>
    <row r="110">
      <c r="A110" s="19" t="s">
        <v>522</v>
      </c>
      <c r="B110" s="19" t="s">
        <v>523</v>
      </c>
      <c r="C110" s="19" t="s">
        <v>11</v>
      </c>
      <c r="D110" t="s">
        <v>524</v>
      </c>
      <c r="F110" t="str">
        <f>IFERROR(__xludf.DUMMYFUNCTION("""COMPUTED_VALUE"""),"Moldovan Leu")</f>
        <v>Moldovan Leu</v>
      </c>
      <c r="G110" t="str">
        <f>IFERROR(__xludf.DUMMYFUNCTION("""COMPUTED_VALUE"""),"MDL")</f>
        <v>MDL</v>
      </c>
      <c r="I110" t="s">
        <v>525</v>
      </c>
      <c r="J110">
        <v>5.15648897</v>
      </c>
    </row>
    <row r="111">
      <c r="A111" s="19" t="s">
        <v>527</v>
      </c>
      <c r="B111" s="19" t="s">
        <v>528</v>
      </c>
      <c r="C111" s="19" t="s">
        <v>25</v>
      </c>
      <c r="D111" t="s">
        <v>529</v>
      </c>
      <c r="F111" t="str">
        <f>IFERROR(__xludf.DUMMYFUNCTION("""COMPUTED_VALUE"""),"Monero")</f>
        <v>Monero</v>
      </c>
      <c r="G111" t="str">
        <f>IFERROR(__xludf.DUMMYFUNCTION("""COMPUTED_VALUE"""),"XMR")</f>
        <v>XMR</v>
      </c>
      <c r="I111" t="s">
        <v>531</v>
      </c>
      <c r="J111">
        <v>550.79977004</v>
      </c>
    </row>
    <row r="112">
      <c r="A112" s="19" t="s">
        <v>533</v>
      </c>
      <c r="B112" s="19" t="s">
        <v>534</v>
      </c>
      <c r="C112" s="19" t="s">
        <v>535</v>
      </c>
      <c r="D112" t="s">
        <v>537</v>
      </c>
      <c r="F112" t="str">
        <f>IFERROR(__xludf.DUMMYFUNCTION("""COMPUTED_VALUE"""),"Mongolian Tughrik")</f>
        <v>Mongolian Tughrik</v>
      </c>
      <c r="G112" t="str">
        <f>IFERROR(__xludf.DUMMYFUNCTION("""COMPUTED_VALUE"""),"MNT")</f>
        <v>MNT</v>
      </c>
      <c r="I112" t="s">
        <v>538</v>
      </c>
      <c r="J112">
        <v>0.74188341</v>
      </c>
    </row>
    <row r="113">
      <c r="A113" s="19" t="s">
        <v>539</v>
      </c>
      <c r="B113" s="19" t="s">
        <v>540</v>
      </c>
      <c r="C113" s="19" t="s">
        <v>541</v>
      </c>
      <c r="D113" t="s">
        <v>542</v>
      </c>
      <c r="F113" t="str">
        <f>IFERROR(__xludf.DUMMYFUNCTION("""COMPUTED_VALUE"""),"Moroccan Dirham")</f>
        <v>Moroccan Dirham</v>
      </c>
      <c r="G113" t="str">
        <f>IFERROR(__xludf.DUMMYFUNCTION("""COMPUTED_VALUE"""),"MAD")</f>
        <v>MAD</v>
      </c>
      <c r="I113" t="s">
        <v>543</v>
      </c>
      <c r="J113">
        <v>2.61590793</v>
      </c>
    </row>
    <row r="114">
      <c r="A114" s="19" t="s">
        <v>544</v>
      </c>
      <c r="B114" s="19" t="s">
        <v>545</v>
      </c>
      <c r="C114" s="19" t="s">
        <v>546</v>
      </c>
      <c r="D114" t="s">
        <v>547</v>
      </c>
      <c r="F114" t="str">
        <f>IFERROR(__xludf.DUMMYFUNCTION("""COMPUTED_VALUE"""),"Mozambican Metical")</f>
        <v>Mozambican Metical</v>
      </c>
      <c r="G114" t="str">
        <f>IFERROR(__xludf.DUMMYFUNCTION("""COMPUTED_VALUE"""),"MZN")</f>
        <v>MZN</v>
      </c>
      <c r="I114" t="s">
        <v>548</v>
      </c>
      <c r="J114">
        <v>0.74188341</v>
      </c>
    </row>
    <row r="115">
      <c r="A115" s="19" t="s">
        <v>549</v>
      </c>
      <c r="B115" s="19" t="s">
        <v>550</v>
      </c>
      <c r="C115" s="19" t="s">
        <v>551</v>
      </c>
      <c r="D115" t="s">
        <v>552</v>
      </c>
      <c r="F115" t="str">
        <f>IFERROR(__xludf.DUMMYFUNCTION("""COMPUTED_VALUE"""),"Namibian Dollar")</f>
        <v>Namibian Dollar</v>
      </c>
      <c r="G115" t="str">
        <f>IFERROR(__xludf.DUMMYFUNCTION("""COMPUTED_VALUE"""),"NAD")</f>
        <v>NAD</v>
      </c>
      <c r="I115" t="s">
        <v>553</v>
      </c>
      <c r="J115">
        <v>116578.60556086</v>
      </c>
    </row>
    <row r="116">
      <c r="A116" s="19" t="s">
        <v>554</v>
      </c>
      <c r="B116" s="19" t="s">
        <v>555</v>
      </c>
      <c r="C116" s="19" t="s">
        <v>11</v>
      </c>
      <c r="D116" t="s">
        <v>556</v>
      </c>
      <c r="F116" t="str">
        <f>IFERROR(__xludf.DUMMYFUNCTION("""COMPUTED_VALUE"""),"Nepalese Rupee")</f>
        <v>Nepalese Rupee</v>
      </c>
      <c r="G116" t="str">
        <f>IFERROR(__xludf.DUMMYFUNCTION("""COMPUTED_VALUE"""),"NPR")</f>
        <v>NPR</v>
      </c>
      <c r="I116" t="s">
        <v>557</v>
      </c>
      <c r="J116">
        <v>11.65786056</v>
      </c>
    </row>
    <row r="117">
      <c r="A117" s="19" t="s">
        <v>558</v>
      </c>
      <c r="B117" s="19" t="s">
        <v>559</v>
      </c>
      <c r="C117" s="19" t="s">
        <v>517</v>
      </c>
      <c r="D117" t="s">
        <v>560</v>
      </c>
      <c r="F117" t="str">
        <f>IFERROR(__xludf.DUMMYFUNCTION("""COMPUTED_VALUE"""),"New Zealand Dollar")</f>
        <v>New Zealand Dollar</v>
      </c>
      <c r="G117" t="str">
        <f>IFERROR(__xludf.DUMMYFUNCTION("""COMPUTED_VALUE"""),"NZD")</f>
        <v>NZD</v>
      </c>
      <c r="I117" t="s">
        <v>561</v>
      </c>
      <c r="J117">
        <v>0.74188341</v>
      </c>
    </row>
    <row r="118">
      <c r="A118" s="19" t="s">
        <v>562</v>
      </c>
      <c r="B118" s="19" t="s">
        <v>563</v>
      </c>
      <c r="C118" s="20" t="s">
        <v>11</v>
      </c>
      <c r="D118" t="s">
        <v>564</v>
      </c>
      <c r="F118" t="str">
        <f>IFERROR(__xludf.DUMMYFUNCTION("""COMPUTED_VALUE"""),"Ni-Vanuatu Vatu")</f>
        <v>Ni-Vanuatu Vatu</v>
      </c>
      <c r="G118" t="str">
        <f>IFERROR(__xludf.DUMMYFUNCTION("""COMPUTED_VALUE"""),"VUV")</f>
        <v>VUV</v>
      </c>
      <c r="I118" t="s">
        <v>565</v>
      </c>
      <c r="J118">
        <v>73.83310955</v>
      </c>
    </row>
    <row r="119">
      <c r="A119" s="19" t="s">
        <v>566</v>
      </c>
      <c r="B119" s="19" t="s">
        <v>567</v>
      </c>
      <c r="C119" s="19" t="s">
        <v>568</v>
      </c>
      <c r="D119" t="s">
        <v>569</v>
      </c>
      <c r="F119" t="str">
        <f>IFERROR(__xludf.DUMMYFUNCTION("""COMPUTED_VALUE"""),"Nicaraguan Cordoba")</f>
        <v>Nicaraguan Cordoba</v>
      </c>
      <c r="G119" t="str">
        <f>IFERROR(__xludf.DUMMYFUNCTION("""COMPUTED_VALUE"""),"NIO")</f>
        <v>NIO</v>
      </c>
      <c r="I119" t="s">
        <v>571</v>
      </c>
      <c r="J119">
        <v>0.1633859</v>
      </c>
    </row>
    <row r="120">
      <c r="A120" s="19" t="s">
        <v>572</v>
      </c>
      <c r="B120" s="19" t="s">
        <v>573</v>
      </c>
      <c r="C120" s="19" t="s">
        <v>574</v>
      </c>
      <c r="D120" t="s">
        <v>575</v>
      </c>
      <c r="F120" t="str">
        <f>IFERROR(__xludf.DUMMYFUNCTION("""COMPUTED_VALUE"""),"Nigerian Naira")</f>
        <v>Nigerian Naira</v>
      </c>
      <c r="G120" t="str">
        <f>IFERROR(__xludf.DUMMYFUNCTION("""COMPUTED_VALUE"""),"NGN")</f>
        <v>NGN</v>
      </c>
      <c r="I120" t="s">
        <v>576</v>
      </c>
      <c r="J120">
        <v>8755.39107757</v>
      </c>
    </row>
    <row r="121">
      <c r="A121" s="19" t="s">
        <v>577</v>
      </c>
      <c r="B121" s="19" t="s">
        <v>578</v>
      </c>
      <c r="C121" s="19" t="s">
        <v>579</v>
      </c>
      <c r="D121" t="s">
        <v>580</v>
      </c>
      <c r="F121" t="str">
        <f>IFERROR(__xludf.DUMMYFUNCTION("""COMPUTED_VALUE"""),"North Korean Won")</f>
        <v>North Korean Won</v>
      </c>
      <c r="G121" t="str">
        <f>IFERROR(__xludf.DUMMYFUNCTION("""COMPUTED_VALUE"""),"KPW")</f>
        <v>KPW</v>
      </c>
      <c r="I121" t="s">
        <v>581</v>
      </c>
      <c r="J121">
        <v>0.0095053533</v>
      </c>
    </row>
    <row r="122">
      <c r="A122" s="19" t="s">
        <v>582</v>
      </c>
      <c r="B122" s="19" t="s">
        <v>583</v>
      </c>
      <c r="C122" s="19" t="s">
        <v>584</v>
      </c>
      <c r="D122" t="s">
        <v>585</v>
      </c>
      <c r="F122" t="str">
        <f>IFERROR(__xludf.DUMMYFUNCTION("""COMPUTED_VALUE"""),"Norwegian Krone")</f>
        <v>Norwegian Krone</v>
      </c>
      <c r="G122" t="str">
        <f>IFERROR(__xludf.DUMMYFUNCTION("""COMPUTED_VALUE"""),"NOK")</f>
        <v>NOK</v>
      </c>
      <c r="I122" t="s">
        <v>586</v>
      </c>
      <c r="J122">
        <v>295.55555154</v>
      </c>
    </row>
    <row r="123">
      <c r="A123" s="19" t="s">
        <v>587</v>
      </c>
      <c r="B123" s="19" t="s">
        <v>588</v>
      </c>
      <c r="C123" s="20" t="s">
        <v>255</v>
      </c>
      <c r="D123" t="s">
        <v>589</v>
      </c>
      <c r="F123" t="str">
        <f>IFERROR(__xludf.DUMMYFUNCTION("""COMPUTED_VALUE"""),"Omani Rial")</f>
        <v>Omani Rial</v>
      </c>
      <c r="G123" t="str">
        <f>IFERROR(__xludf.DUMMYFUNCTION("""COMPUTED_VALUE"""),"OMR")</f>
        <v>OMR</v>
      </c>
      <c r="I123" t="s">
        <v>590</v>
      </c>
      <c r="J123">
        <v>69.63383109</v>
      </c>
    </row>
    <row r="124">
      <c r="A124" s="19" t="s">
        <v>591</v>
      </c>
      <c r="B124" s="19" t="s">
        <v>592</v>
      </c>
      <c r="C124" s="19" t="s">
        <v>394</v>
      </c>
      <c r="D124" t="s">
        <v>593</v>
      </c>
      <c r="F124" t="str">
        <f>IFERROR(__xludf.DUMMYFUNCTION("""COMPUTED_VALUE"""),"Pakistani Rupee")</f>
        <v>Pakistani Rupee</v>
      </c>
      <c r="G124" t="str">
        <f>IFERROR(__xludf.DUMMYFUNCTION("""COMPUTED_VALUE"""),"PKR")</f>
        <v>PKR</v>
      </c>
      <c r="I124" t="s">
        <v>594</v>
      </c>
      <c r="J124">
        <v>0.1534722</v>
      </c>
    </row>
    <row r="125">
      <c r="A125" s="19" t="s">
        <v>595</v>
      </c>
      <c r="B125" s="19" t="s">
        <v>596</v>
      </c>
      <c r="C125" s="19" t="s">
        <v>517</v>
      </c>
      <c r="D125" t="s">
        <v>597</v>
      </c>
      <c r="F125" t="str">
        <f>IFERROR(__xludf.DUMMYFUNCTION("""COMPUTED_VALUE"""),"Panamanian Balboa")</f>
        <v>Panamanian Balboa</v>
      </c>
      <c r="G125" t="str">
        <f>IFERROR(__xludf.DUMMYFUNCTION("""COMPUTED_VALUE"""),"PAB")</f>
        <v>PAB</v>
      </c>
      <c r="I125" t="s">
        <v>598</v>
      </c>
      <c r="J125">
        <v>7.62254491</v>
      </c>
    </row>
    <row r="126">
      <c r="A126" s="19" t="s">
        <v>599</v>
      </c>
      <c r="B126" s="19" t="s">
        <v>600</v>
      </c>
      <c r="C126" s="19" t="s">
        <v>601</v>
      </c>
      <c r="D126" t="s">
        <v>602</v>
      </c>
      <c r="F126" t="str">
        <f>IFERROR(__xludf.DUMMYFUNCTION("""COMPUTED_VALUE"""),"Papua New Guinean Kina")</f>
        <v>Papua New Guinean Kina</v>
      </c>
      <c r="G126" t="str">
        <f>IFERROR(__xludf.DUMMYFUNCTION("""COMPUTED_VALUE"""),"PGK")</f>
        <v>PGK</v>
      </c>
      <c r="I126" t="s">
        <v>603</v>
      </c>
      <c r="J126">
        <v>1.00262941</v>
      </c>
    </row>
    <row r="127">
      <c r="A127" s="19" t="s">
        <v>604</v>
      </c>
      <c r="B127" s="19" t="s">
        <v>605</v>
      </c>
      <c r="C127" s="19" t="s">
        <v>147</v>
      </c>
      <c r="D127" t="s">
        <v>606</v>
      </c>
      <c r="F127" t="str">
        <f>IFERROR(__xludf.DUMMYFUNCTION("""COMPUTED_VALUE"""),"Paraguayan Guarani")</f>
        <v>Paraguayan Guarani</v>
      </c>
      <c r="G127" t="str">
        <f>IFERROR(__xludf.DUMMYFUNCTION("""COMPUTED_VALUE"""),"PYG")</f>
        <v>PYG</v>
      </c>
      <c r="I127" t="s">
        <v>607</v>
      </c>
      <c r="J127">
        <v>208.19197728</v>
      </c>
    </row>
    <row r="128">
      <c r="A128" s="19" t="s">
        <v>608</v>
      </c>
      <c r="B128" s="19" t="s">
        <v>609</v>
      </c>
      <c r="C128" s="20" t="s">
        <v>610</v>
      </c>
      <c r="D128" t="s">
        <v>611</v>
      </c>
      <c r="F128" t="str">
        <f>IFERROR(__xludf.DUMMYFUNCTION("""COMPUTED_VALUE"""),"Philippine Peso")</f>
        <v>Philippine Peso</v>
      </c>
      <c r="G128" t="str">
        <f>IFERROR(__xludf.DUMMYFUNCTION("""COMPUTED_VALUE"""),"PHP")</f>
        <v>PHP</v>
      </c>
      <c r="I128" t="s">
        <v>612</v>
      </c>
      <c r="J128">
        <v>14.28066913</v>
      </c>
    </row>
    <row r="129">
      <c r="A129" s="19" t="s">
        <v>613</v>
      </c>
      <c r="B129" s="19" t="s">
        <v>614</v>
      </c>
      <c r="C129" s="19" t="s">
        <v>245</v>
      </c>
      <c r="D129" t="s">
        <v>615</v>
      </c>
      <c r="F129" t="str">
        <f>IFERROR(__xludf.DUMMYFUNCTION("""COMPUTED_VALUE"""),"Polish Zloty")</f>
        <v>Polish Zloty</v>
      </c>
      <c r="G129" t="str">
        <f>IFERROR(__xludf.DUMMYFUNCTION("""COMPUTED_VALUE"""),"PLN")</f>
        <v>PLN</v>
      </c>
      <c r="I129" t="s">
        <v>616</v>
      </c>
      <c r="J129">
        <v>7.84188485</v>
      </c>
    </row>
    <row r="130">
      <c r="A130" t="s">
        <v>617</v>
      </c>
      <c r="B130" t="s">
        <v>618</v>
      </c>
      <c r="C130" t="s">
        <v>619</v>
      </c>
      <c r="D130" t="s">
        <v>620</v>
      </c>
      <c r="F130" t="str">
        <f>IFERROR(__xludf.DUMMYFUNCTION("""COMPUTED_VALUE"""),"Polkadot")</f>
        <v>Polkadot</v>
      </c>
      <c r="G130" t="str">
        <f>IFERROR(__xludf.DUMMYFUNCTION("""COMPUTED_VALUE"""),"DOT")</f>
        <v>DOT</v>
      </c>
      <c r="I130" t="s">
        <v>621</v>
      </c>
      <c r="J130">
        <v>26.77021609</v>
      </c>
    </row>
    <row r="131">
      <c r="A131" t="s">
        <v>622</v>
      </c>
      <c r="B131" t="s">
        <v>623</v>
      </c>
      <c r="C131" t="s">
        <v>624</v>
      </c>
      <c r="D131" t="s">
        <v>625</v>
      </c>
      <c r="F131" t="str">
        <f>IFERROR(__xludf.DUMMYFUNCTION("""COMPUTED_VALUE"""),"Qatari Riyal")</f>
        <v>Qatari Riyal</v>
      </c>
      <c r="G131" t="str">
        <f>IFERROR(__xludf.DUMMYFUNCTION("""COMPUTED_VALUE"""),"QAR")</f>
        <v>QAR</v>
      </c>
      <c r="I131" t="s">
        <v>626</v>
      </c>
      <c r="J131">
        <v>5.50887024</v>
      </c>
    </row>
    <row r="132">
      <c r="A132" t="s">
        <v>627</v>
      </c>
      <c r="B132" t="s">
        <v>628</v>
      </c>
      <c r="C132" t="s">
        <v>394</v>
      </c>
      <c r="D132" t="s">
        <v>629</v>
      </c>
      <c r="F132" t="str">
        <f>IFERROR(__xludf.DUMMYFUNCTION("""COMPUTED_VALUE"""),"Ripple")</f>
        <v>Ripple</v>
      </c>
      <c r="G132" t="str">
        <f>IFERROR(__xludf.DUMMYFUNCTION("""COMPUTED_VALUE"""),"XRP")</f>
        <v>XRP</v>
      </c>
      <c r="I132" t="s">
        <v>630</v>
      </c>
      <c r="J132">
        <v>2941.00788875</v>
      </c>
    </row>
    <row r="133">
      <c r="A133" t="s">
        <v>631</v>
      </c>
      <c r="B133" t="s">
        <v>632</v>
      </c>
      <c r="C133" t="s">
        <v>632</v>
      </c>
      <c r="D133" t="s">
        <v>633</v>
      </c>
      <c r="F133" t="str">
        <f>IFERROR(__xludf.DUMMYFUNCTION("""COMPUTED_VALUE"""),"Romanian Leu")</f>
        <v>Romanian Leu</v>
      </c>
      <c r="G133" t="str">
        <f>IFERROR(__xludf.DUMMYFUNCTION("""COMPUTED_VALUE"""),"RON")</f>
        <v>RON</v>
      </c>
      <c r="I133" t="s">
        <v>634</v>
      </c>
      <c r="J133">
        <v>6.53518211</v>
      </c>
    </row>
    <row r="134">
      <c r="A134" t="s">
        <v>635</v>
      </c>
      <c r="B134" t="s">
        <v>636</v>
      </c>
      <c r="C134" t="s">
        <v>637</v>
      </c>
      <c r="D134" t="s">
        <v>638</v>
      </c>
      <c r="F134" t="str">
        <f>IFERROR(__xludf.DUMMYFUNCTION("""COMPUTED_VALUE"""),"Russian Ruble")</f>
        <v>Russian Ruble</v>
      </c>
      <c r="G134" t="str">
        <f>IFERROR(__xludf.DUMMYFUNCTION("""COMPUTED_VALUE"""),"RUB")</f>
        <v>RUB</v>
      </c>
      <c r="I134" t="s">
        <v>639</v>
      </c>
      <c r="J134">
        <v>12.51849416</v>
      </c>
    </row>
    <row r="135">
      <c r="A135" t="s">
        <v>640</v>
      </c>
      <c r="B135" t="s">
        <v>641</v>
      </c>
      <c r="C135" t="s">
        <v>642</v>
      </c>
      <c r="D135" t="s">
        <v>643</v>
      </c>
      <c r="F135" t="str">
        <f>IFERROR(__xludf.DUMMYFUNCTION("""COMPUTED_VALUE"""),"Rwandan Franc")</f>
        <v>Rwandan Franc</v>
      </c>
      <c r="G135" t="str">
        <f>IFERROR(__xludf.DUMMYFUNCTION("""COMPUTED_VALUE"""),"RWF")</f>
        <v>RWF</v>
      </c>
      <c r="I135" t="s">
        <v>644</v>
      </c>
      <c r="J135">
        <v>130.3547822</v>
      </c>
    </row>
    <row r="136">
      <c r="A136" t="s">
        <v>645</v>
      </c>
      <c r="B136" t="s">
        <v>646</v>
      </c>
      <c r="C136" t="s">
        <v>647</v>
      </c>
      <c r="D136" t="s">
        <v>648</v>
      </c>
      <c r="F136" t="str">
        <f>IFERROR(__xludf.DUMMYFUNCTION("""COMPUTED_VALUE"""),"Saint Helenian Pound")</f>
        <v>Saint Helenian Pound</v>
      </c>
      <c r="G136" t="str">
        <f>IFERROR(__xludf.DUMMYFUNCTION("""COMPUTED_VALUE"""),"SHP")</f>
        <v>SHP</v>
      </c>
      <c r="I136" t="s">
        <v>649</v>
      </c>
      <c r="J136">
        <v>316.5538242</v>
      </c>
    </row>
    <row r="137">
      <c r="A137" t="s">
        <v>650</v>
      </c>
      <c r="B137" t="s">
        <v>651</v>
      </c>
      <c r="C137" t="s">
        <v>132</v>
      </c>
      <c r="D137" t="s">
        <v>652</v>
      </c>
      <c r="F137" t="str">
        <f>IFERROR(__xludf.DUMMYFUNCTION("""COMPUTED_VALUE"""),"Salvadoran Colon")</f>
        <v>Salvadoran Colon</v>
      </c>
      <c r="G137" t="str">
        <f>IFERROR(__xludf.DUMMYFUNCTION("""COMPUTED_VALUE"""),"SVC")</f>
        <v>SVC</v>
      </c>
      <c r="I137" t="s">
        <v>653</v>
      </c>
      <c r="J137">
        <v>0.48353151</v>
      </c>
    </row>
    <row r="138">
      <c r="A138" t="s">
        <v>654</v>
      </c>
      <c r="B138" t="s">
        <v>655</v>
      </c>
      <c r="C138" t="s">
        <v>229</v>
      </c>
      <c r="D138" t="s">
        <v>656</v>
      </c>
      <c r="F138" t="str">
        <f>IFERROR(__xludf.DUMMYFUNCTION("""COMPUTED_VALUE"""),"Samoan Tala")</f>
        <v>Samoan Tala</v>
      </c>
      <c r="G138" t="str">
        <f>IFERROR(__xludf.DUMMYFUNCTION("""COMPUTED_VALUE"""),"WST")</f>
        <v>WST</v>
      </c>
      <c r="I138" t="s">
        <v>657</v>
      </c>
      <c r="J138">
        <v>18024.17529787</v>
      </c>
    </row>
    <row r="139">
      <c r="A139" t="s">
        <v>658</v>
      </c>
      <c r="B139" t="s">
        <v>659</v>
      </c>
      <c r="C139" t="s">
        <v>660</v>
      </c>
      <c r="D139" t="s">
        <v>661</v>
      </c>
      <c r="F139" t="str">
        <f>IFERROR(__xludf.DUMMYFUNCTION("""COMPUTED_VALUE"""),"Sao Tomean Dobra")</f>
        <v>Sao Tomean Dobra</v>
      </c>
      <c r="G139" t="str">
        <f>IFERROR(__xludf.DUMMYFUNCTION("""COMPUTED_VALUE"""),"STD")</f>
        <v>STD</v>
      </c>
      <c r="I139" t="s">
        <v>662</v>
      </c>
      <c r="J139">
        <v>0.68310759</v>
      </c>
    </row>
    <row r="140">
      <c r="A140" t="s">
        <v>663</v>
      </c>
      <c r="B140" t="s">
        <v>664</v>
      </c>
      <c r="C140" t="s">
        <v>665</v>
      </c>
      <c r="D140" t="s">
        <v>666</v>
      </c>
      <c r="F140" t="str">
        <f>IFERROR(__xludf.DUMMYFUNCTION("""COMPUTED_VALUE"""),"Sao Tomean Dobra")</f>
        <v>Sao Tomean Dobra</v>
      </c>
      <c r="G140" t="str">
        <f>IFERROR(__xludf.DUMMYFUNCTION("""COMPUTED_VALUE"""),"STN")</f>
        <v>STN</v>
      </c>
      <c r="I140" t="s">
        <v>667</v>
      </c>
      <c r="J140">
        <v>3.06124059</v>
      </c>
    </row>
    <row r="141">
      <c r="A141" t="s">
        <v>663</v>
      </c>
      <c r="B141" t="s">
        <v>668</v>
      </c>
      <c r="C141" t="s">
        <v>665</v>
      </c>
      <c r="D141" t="s">
        <v>669</v>
      </c>
      <c r="F141" t="str">
        <f>IFERROR(__xludf.DUMMYFUNCTION("""COMPUTED_VALUE"""),"Saudi Arabian Riyal")</f>
        <v>Saudi Arabian Riyal</v>
      </c>
      <c r="G141" t="str">
        <f>IFERROR(__xludf.DUMMYFUNCTION("""COMPUTED_VALUE"""),"SAR")</f>
        <v>SAR</v>
      </c>
      <c r="I141" t="s">
        <v>670</v>
      </c>
      <c r="J141">
        <v>0.74188341</v>
      </c>
    </row>
    <row r="142">
      <c r="A142" t="s">
        <v>671</v>
      </c>
      <c r="B142" t="s">
        <v>672</v>
      </c>
      <c r="C142" t="s">
        <v>394</v>
      </c>
      <c r="D142" t="s">
        <v>673</v>
      </c>
      <c r="F142" t="str">
        <f>IFERROR(__xludf.DUMMYFUNCTION("""COMPUTED_VALUE"""),"Serbian Dinar")</f>
        <v>Serbian Dinar</v>
      </c>
      <c r="G142" t="str">
        <f>IFERROR(__xludf.DUMMYFUNCTION("""COMPUTED_VALUE"""),"RSD")</f>
        <v>RSD</v>
      </c>
      <c r="I142" t="s">
        <v>674</v>
      </c>
      <c r="J142">
        <v>9.17804795</v>
      </c>
    </row>
    <row r="143">
      <c r="A143" t="s">
        <v>675</v>
      </c>
      <c r="B143" t="s">
        <v>676</v>
      </c>
      <c r="C143" t="s">
        <v>677</v>
      </c>
      <c r="D143" t="s">
        <v>678</v>
      </c>
      <c r="F143" t="str">
        <f>IFERROR(__xludf.DUMMYFUNCTION("""COMPUTED_VALUE"""),"Seychellois Rupee")</f>
        <v>Seychellois Rupee</v>
      </c>
      <c r="G143" t="str">
        <f>IFERROR(__xludf.DUMMYFUNCTION("""COMPUTED_VALUE"""),"SCR")</f>
        <v>SCR</v>
      </c>
      <c r="I143" t="s">
        <v>679</v>
      </c>
      <c r="J143">
        <v>0.20740231</v>
      </c>
    </row>
    <row r="144">
      <c r="A144" t="s">
        <v>680</v>
      </c>
      <c r="B144" t="s">
        <v>681</v>
      </c>
      <c r="C144" t="s">
        <v>517</v>
      </c>
      <c r="D144" t="s">
        <v>682</v>
      </c>
      <c r="F144" t="str">
        <f>IFERROR(__xludf.DUMMYFUNCTION("""COMPUTED_VALUE"""),"Sierra Leonean Leone")</f>
        <v>Sierra Leonean Leone</v>
      </c>
      <c r="G144" t="str">
        <f>IFERROR(__xludf.DUMMYFUNCTION("""COMPUTED_VALUE"""),"SLE")</f>
        <v>SLE</v>
      </c>
      <c r="I144" t="s">
        <v>683</v>
      </c>
      <c r="J144">
        <v>95.4199614</v>
      </c>
    </row>
    <row r="145">
      <c r="A145" t="s">
        <v>684</v>
      </c>
      <c r="B145" t="s">
        <v>685</v>
      </c>
      <c r="C145" t="s">
        <v>686</v>
      </c>
      <c r="D145" t="s">
        <v>687</v>
      </c>
      <c r="F145" t="str">
        <f>IFERROR(__xludf.DUMMYFUNCTION("""COMPUTED_VALUE"""),"Sierra Leonean Leone")</f>
        <v>Sierra Leonean Leone</v>
      </c>
      <c r="G145" t="str">
        <f>IFERROR(__xludf.DUMMYFUNCTION("""COMPUTED_VALUE"""),"SLL")</f>
        <v>SLL</v>
      </c>
      <c r="I145" t="s">
        <v>688</v>
      </c>
      <c r="J145">
        <v>1306.34599815</v>
      </c>
    </row>
    <row r="146">
      <c r="A146" t="s">
        <v>684</v>
      </c>
      <c r="B146" t="s">
        <v>689</v>
      </c>
      <c r="C146" t="s">
        <v>686</v>
      </c>
      <c r="D146" t="s">
        <v>690</v>
      </c>
      <c r="F146" t="str">
        <f>IFERROR(__xludf.DUMMYFUNCTION("""COMPUTED_VALUE"""),"Silver Ounce")</f>
        <v>Silver Ounce</v>
      </c>
      <c r="G146" t="str">
        <f>IFERROR(__xludf.DUMMYFUNCTION("""COMPUTED_VALUE"""),"XAG")</f>
        <v>XAG</v>
      </c>
      <c r="I146" t="s">
        <v>691</v>
      </c>
      <c r="J146">
        <v>1376019.14488032</v>
      </c>
    </row>
    <row r="147">
      <c r="A147" t="s">
        <v>692</v>
      </c>
      <c r="B147" t="s">
        <v>693</v>
      </c>
      <c r="C147" t="s">
        <v>694</v>
      </c>
      <c r="D147" t="s">
        <v>695</v>
      </c>
      <c r="F147" t="str">
        <f>IFERROR(__xludf.DUMMYFUNCTION("""COMPUTED_VALUE"""),"Singapore Dollar")</f>
        <v>Singapore Dollar</v>
      </c>
      <c r="G147" t="str">
        <f>IFERROR(__xludf.DUMMYFUNCTION("""COMPUTED_VALUE"""),"SGD")</f>
        <v>SGD</v>
      </c>
      <c r="I147" t="s">
        <v>696</v>
      </c>
      <c r="J147">
        <v>123.23418971</v>
      </c>
    </row>
    <row r="148">
      <c r="A148" t="s">
        <v>697</v>
      </c>
      <c r="B148" t="s">
        <v>698</v>
      </c>
      <c r="C148" t="s">
        <v>11</v>
      </c>
      <c r="D148" t="s">
        <v>699</v>
      </c>
      <c r="F148" t="str">
        <f>IFERROR(__xludf.DUMMYFUNCTION("""COMPUTED_VALUE"""),"Solana")</f>
        <v>Solana</v>
      </c>
      <c r="G148" t="str">
        <f>IFERROR(__xludf.DUMMYFUNCTION("""COMPUTED_VALUE"""),"SOL")</f>
        <v>SOL</v>
      </c>
      <c r="I148" t="s">
        <v>700</v>
      </c>
      <c r="J148">
        <v>1679.45810059</v>
      </c>
    </row>
    <row r="149">
      <c r="A149" t="s">
        <v>701</v>
      </c>
      <c r="B149" t="s">
        <v>702</v>
      </c>
      <c r="C149" t="s">
        <v>703</v>
      </c>
      <c r="D149" t="s">
        <v>704</v>
      </c>
      <c r="F149" t="str">
        <f>IFERROR(__xludf.DUMMYFUNCTION("""COMPUTED_VALUE"""),"Somali Shilling")</f>
        <v>Somali Shilling</v>
      </c>
      <c r="G149" t="str">
        <f>IFERROR(__xludf.DUMMYFUNCTION("""COMPUTED_VALUE"""),"SOS")</f>
        <v>SOS</v>
      </c>
      <c r="I149" t="s">
        <v>705</v>
      </c>
      <c r="J149">
        <v>0.74188341</v>
      </c>
    </row>
    <row r="150">
      <c r="A150" t="s">
        <v>706</v>
      </c>
      <c r="B150" t="s">
        <v>707</v>
      </c>
      <c r="C150" t="s">
        <v>708</v>
      </c>
      <c r="D150" t="s">
        <v>709</v>
      </c>
      <c r="F150" t="str">
        <f>IFERROR(__xludf.DUMMYFUNCTION("""COMPUTED_VALUE"""),"South African Rand")</f>
        <v>South African Rand</v>
      </c>
      <c r="G150" t="str">
        <f>IFERROR(__xludf.DUMMYFUNCTION("""COMPUTED_VALUE"""),"ZAR")</f>
        <v>ZAR</v>
      </c>
      <c r="I150" t="s">
        <v>710</v>
      </c>
      <c r="J150">
        <v>158.26510306</v>
      </c>
    </row>
    <row r="151">
      <c r="A151" t="s">
        <v>711</v>
      </c>
      <c r="B151" t="s">
        <v>712</v>
      </c>
      <c r="C151" t="s">
        <v>713</v>
      </c>
      <c r="D151" t="s">
        <v>714</v>
      </c>
      <c r="F151" t="str">
        <f>IFERROR(__xludf.DUMMYFUNCTION("""COMPUTED_VALUE"""),"South Korean Won")</f>
        <v>South Korean Won</v>
      </c>
      <c r="G151" t="str">
        <f>IFERROR(__xludf.DUMMYFUNCTION("""COMPUTED_VALUE"""),"KRW")</f>
        <v>KRW</v>
      </c>
      <c r="I151" t="s">
        <v>715</v>
      </c>
      <c r="J151">
        <v>0.709</v>
      </c>
    </row>
    <row r="152">
      <c r="A152" t="s">
        <v>716</v>
      </c>
      <c r="B152" t="s">
        <v>717</v>
      </c>
      <c r="C152" t="s">
        <v>584</v>
      </c>
      <c r="D152" t="s">
        <v>718</v>
      </c>
      <c r="F152" t="str">
        <f>IFERROR(__xludf.DUMMYFUNCTION("""COMPUTED_VALUE"""),"Sri Lankan Rupee")</f>
        <v>Sri Lankan Rupee</v>
      </c>
      <c r="G152" t="str">
        <f>IFERROR(__xludf.DUMMYFUNCTION("""COMPUTED_VALUE"""),"LKR")</f>
        <v>LKR</v>
      </c>
      <c r="I152" t="s">
        <v>719</v>
      </c>
      <c r="J152">
        <v>157.65410642</v>
      </c>
    </row>
    <row r="153">
      <c r="A153" t="s">
        <v>720</v>
      </c>
      <c r="B153" t="s">
        <v>721</v>
      </c>
      <c r="C153" t="s">
        <v>517</v>
      </c>
      <c r="D153" t="s">
        <v>722</v>
      </c>
      <c r="F153" t="str">
        <f>IFERROR(__xludf.DUMMYFUNCTION("""COMPUTED_VALUE"""),"Stellar Lumen")</f>
        <v>Stellar Lumen</v>
      </c>
      <c r="G153" t="str">
        <f>IFERROR(__xludf.DUMMYFUNCTION("""COMPUTED_VALUE"""),"XLM")</f>
        <v>XLM</v>
      </c>
      <c r="I153" t="s">
        <v>723</v>
      </c>
      <c r="J153">
        <v>36.58581225</v>
      </c>
    </row>
    <row r="154">
      <c r="A154" t="s">
        <v>724</v>
      </c>
      <c r="B154" t="s">
        <v>725</v>
      </c>
      <c r="C154" t="s">
        <v>725</v>
      </c>
      <c r="D154" t="s">
        <v>726</v>
      </c>
      <c r="F154" t="str">
        <f>IFERROR(__xludf.DUMMYFUNCTION("""COMPUTED_VALUE"""),"Sudanese Pound")</f>
        <v>Sudanese Pound</v>
      </c>
      <c r="G154" t="str">
        <f>IFERROR(__xludf.DUMMYFUNCTION("""COMPUTED_VALUE"""),"SDG")</f>
        <v>SDG</v>
      </c>
      <c r="I154" t="s">
        <v>727</v>
      </c>
      <c r="J154">
        <v>24.23106462</v>
      </c>
    </row>
    <row r="155">
      <c r="A155" t="s">
        <v>728</v>
      </c>
      <c r="B155" t="s">
        <v>729</v>
      </c>
      <c r="C155" t="s">
        <v>132</v>
      </c>
      <c r="D155" t="s">
        <v>730</v>
      </c>
      <c r="F155" t="str">
        <f>IFERROR(__xludf.DUMMYFUNCTION("""COMPUTED_VALUE"""),"Surinamese Dollar")</f>
        <v>Surinamese Dollar</v>
      </c>
      <c r="G155" t="str">
        <f>IFERROR(__xludf.DUMMYFUNCTION("""COMPUTED_VALUE"""),"SRD")</f>
        <v>SRD</v>
      </c>
      <c r="I155" t="s">
        <v>731</v>
      </c>
      <c r="J155">
        <v>0.15224131</v>
      </c>
    </row>
    <row r="156">
      <c r="A156" t="s">
        <v>732</v>
      </c>
      <c r="B156" t="s">
        <v>733</v>
      </c>
      <c r="C156" t="s">
        <v>11</v>
      </c>
      <c r="D156" t="s">
        <v>734</v>
      </c>
      <c r="F156" t="str">
        <f>IFERROR(__xludf.DUMMYFUNCTION("""COMPUTED_VALUE"""),"Swazi Lilangeni")</f>
        <v>Swazi Lilangeni</v>
      </c>
      <c r="G156" t="str">
        <f>IFERROR(__xludf.DUMMYFUNCTION("""COMPUTED_VALUE"""),"SZL")</f>
        <v>SZL</v>
      </c>
      <c r="I156" t="s">
        <v>735</v>
      </c>
      <c r="J156">
        <v>238.32649325</v>
      </c>
    </row>
    <row r="157">
      <c r="A157" t="s">
        <v>736</v>
      </c>
      <c r="B157" t="s">
        <v>737</v>
      </c>
      <c r="C157" t="s">
        <v>738</v>
      </c>
      <c r="D157" t="s">
        <v>739</v>
      </c>
      <c r="F157" t="str">
        <f>IFERROR(__xludf.DUMMYFUNCTION("""COMPUTED_VALUE"""),"Swedish Krona")</f>
        <v>Swedish Krona</v>
      </c>
      <c r="G157" t="str">
        <f>IFERROR(__xludf.DUMMYFUNCTION("""COMPUTED_VALUE"""),"SEK")</f>
        <v>SEK</v>
      </c>
      <c r="I157" t="s">
        <v>740</v>
      </c>
      <c r="J157">
        <v>129.03711147</v>
      </c>
    </row>
    <row r="158">
      <c r="A158" t="s">
        <v>741</v>
      </c>
      <c r="B158" t="s">
        <v>742</v>
      </c>
      <c r="C158" t="s">
        <v>255</v>
      </c>
      <c r="D158" t="s">
        <v>743</v>
      </c>
      <c r="F158" t="str">
        <f>IFERROR(__xludf.DUMMYFUNCTION("""COMPUTED_VALUE"""),"Swiss Franc")</f>
        <v>Swiss Franc</v>
      </c>
      <c r="G158" t="str">
        <f>IFERROR(__xludf.DUMMYFUNCTION("""COMPUTED_VALUE"""),"CHF")</f>
        <v>CHF</v>
      </c>
      <c r="I158" t="s">
        <v>744</v>
      </c>
      <c r="J158">
        <v>87.48127413</v>
      </c>
    </row>
    <row r="159">
      <c r="A159" t="s">
        <v>745</v>
      </c>
      <c r="B159" t="s">
        <v>746</v>
      </c>
      <c r="C159" t="s">
        <v>746</v>
      </c>
      <c r="D159" t="s">
        <v>747</v>
      </c>
      <c r="F159" t="str">
        <f>IFERROR(__xludf.DUMMYFUNCTION("""COMPUTED_VALUE"""),"Syrian Pound")</f>
        <v>Syrian Pound</v>
      </c>
      <c r="G159" t="str">
        <f>IFERROR(__xludf.DUMMYFUNCTION("""COMPUTED_VALUE"""),"SYP")</f>
        <v>SYP</v>
      </c>
      <c r="I159" t="s">
        <v>748</v>
      </c>
      <c r="J159">
        <v>4034.5071634</v>
      </c>
    </row>
    <row r="160">
      <c r="A160" t="s">
        <v>749</v>
      </c>
      <c r="B160" t="s">
        <v>750</v>
      </c>
      <c r="C160" t="s">
        <v>132</v>
      </c>
      <c r="D160" t="s">
        <v>751</v>
      </c>
      <c r="F160" t="str">
        <f>IFERROR(__xludf.DUMMYFUNCTION("""COMPUTED_VALUE"""),"Taiwan New Dollar")</f>
        <v>Taiwan New Dollar</v>
      </c>
      <c r="G160" t="str">
        <f>IFERROR(__xludf.DUMMYFUNCTION("""COMPUTED_VALUE"""),"TWD")</f>
        <v>TWD</v>
      </c>
      <c r="I160" t="s">
        <v>752</v>
      </c>
      <c r="J160">
        <v>36.77428056</v>
      </c>
    </row>
    <row r="161">
      <c r="A161" t="s">
        <v>753</v>
      </c>
      <c r="B161" t="s">
        <v>754</v>
      </c>
      <c r="C161" t="s">
        <v>11</v>
      </c>
      <c r="D161" t="s">
        <v>755</v>
      </c>
      <c r="F161" t="str">
        <f>IFERROR(__xludf.DUMMYFUNCTION("""COMPUTED_VALUE"""),"Tajikistani Somoni")</f>
        <v>Tajikistani Somoni</v>
      </c>
      <c r="G161" t="str">
        <f>IFERROR(__xludf.DUMMYFUNCTION("""COMPUTED_VALUE"""),"TJS")</f>
        <v>TJS</v>
      </c>
      <c r="I161" t="s">
        <v>756</v>
      </c>
      <c r="J161">
        <v>426.716947</v>
      </c>
    </row>
    <row r="162">
      <c r="A162" t="s">
        <v>757</v>
      </c>
      <c r="B162" t="s">
        <v>758</v>
      </c>
      <c r="C162" t="s">
        <v>759</v>
      </c>
      <c r="D162" t="s">
        <v>760</v>
      </c>
      <c r="F162" t="str">
        <f>IFERROR(__xludf.DUMMYFUNCTION("""COMPUTED_VALUE"""),"Tanzanian Shilling")</f>
        <v>Tanzanian Shilling</v>
      </c>
      <c r="G162" t="str">
        <f>IFERROR(__xludf.DUMMYFUNCTION("""COMPUTED_VALUE"""),"TZS")</f>
        <v>TZS</v>
      </c>
      <c r="I162" t="s">
        <v>761</v>
      </c>
      <c r="J162">
        <v>9.61467652</v>
      </c>
    </row>
    <row r="163">
      <c r="A163" t="s">
        <v>762</v>
      </c>
      <c r="B163" t="s">
        <v>763</v>
      </c>
      <c r="C163" t="s">
        <v>764</v>
      </c>
      <c r="D163" t="s">
        <v>765</v>
      </c>
      <c r="F163" t="str">
        <f>IFERROR(__xludf.DUMMYFUNCTION("""COMPUTED_VALUE"""),"Tether")</f>
        <v>Tether</v>
      </c>
      <c r="G163" t="str">
        <f>IFERROR(__xludf.DUMMYFUNCTION("""COMPUTED_VALUE"""),"USDT")</f>
        <v>USDT</v>
      </c>
      <c r="I163" t="s">
        <v>766</v>
      </c>
      <c r="J163">
        <v>1443.03434425</v>
      </c>
    </row>
    <row r="164">
      <c r="A164" t="s">
        <v>767</v>
      </c>
      <c r="B164" t="s">
        <v>768</v>
      </c>
      <c r="C164" t="s">
        <v>541</v>
      </c>
      <c r="D164" t="s">
        <v>769</v>
      </c>
      <c r="F164" t="str">
        <f>IFERROR(__xludf.DUMMYFUNCTION("""COMPUTED_VALUE"""),"Tether Gold")</f>
        <v>Tether Gold</v>
      </c>
      <c r="G164" t="str">
        <f>IFERROR(__xludf.DUMMYFUNCTION("""COMPUTED_VALUE"""),"XAUT")</f>
        <v>XAUT</v>
      </c>
      <c r="I164" t="s">
        <v>770</v>
      </c>
      <c r="J164">
        <v>0.33289696</v>
      </c>
    </row>
    <row r="165">
      <c r="A165" t="s">
        <v>771</v>
      </c>
      <c r="B165" t="s">
        <v>772</v>
      </c>
      <c r="C165" t="s">
        <v>773</v>
      </c>
      <c r="D165" t="s">
        <v>774</v>
      </c>
      <c r="F165" t="str">
        <f>IFERROR(__xludf.DUMMYFUNCTION("""COMPUTED_VALUE"""),"Thai Baht")</f>
        <v>Thai Baht</v>
      </c>
      <c r="G165" t="str">
        <f>IFERROR(__xludf.DUMMYFUNCTION("""COMPUTED_VALUE"""),"THB")</f>
        <v>THB</v>
      </c>
      <c r="I165" t="s">
        <v>775</v>
      </c>
      <c r="J165">
        <v>0.30926359</v>
      </c>
    </row>
    <row r="166">
      <c r="A166" t="s">
        <v>776</v>
      </c>
      <c r="B166" t="s">
        <v>777</v>
      </c>
      <c r="C166" t="s">
        <v>778</v>
      </c>
      <c r="D166" t="s">
        <v>779</v>
      </c>
      <c r="F166" t="str">
        <f>IFERROR(__xludf.DUMMYFUNCTION("""COMPUTED_VALUE"""),"Tongan Pa'anga")</f>
        <v>Tongan Pa'anga</v>
      </c>
      <c r="G166" t="str">
        <f>IFERROR(__xludf.DUMMYFUNCTION("""COMPUTED_VALUE"""),"TOP")</f>
        <v>TOP</v>
      </c>
      <c r="I166" t="s">
        <v>780</v>
      </c>
      <c r="J166">
        <v>0.83109929</v>
      </c>
    </row>
    <row r="167">
      <c r="A167" t="s">
        <v>781</v>
      </c>
      <c r="B167" t="s">
        <v>782</v>
      </c>
      <c r="C167" t="s">
        <v>783</v>
      </c>
      <c r="D167" t="s">
        <v>784</v>
      </c>
      <c r="F167" t="str">
        <f>IFERROR(__xludf.DUMMYFUNCTION("""COMPUTED_VALUE"""),"Trinidadian Dollar")</f>
        <v>Trinidadian Dollar</v>
      </c>
      <c r="G167" t="str">
        <f>IFERROR(__xludf.DUMMYFUNCTION("""COMPUTED_VALUE"""),"TTD")</f>
        <v>TTD</v>
      </c>
      <c r="I167" t="s">
        <v>785</v>
      </c>
      <c r="J167">
        <v>473.8843649</v>
      </c>
    </row>
    <row r="168">
      <c r="A168" t="s">
        <v>786</v>
      </c>
      <c r="B168" t="s">
        <v>787</v>
      </c>
      <c r="C168" t="s">
        <v>788</v>
      </c>
      <c r="D168" t="s">
        <v>789</v>
      </c>
      <c r="F168" t="str">
        <f>IFERROR(__xludf.DUMMYFUNCTION("""COMPUTED_VALUE"""),"Tunisian Dinar")</f>
        <v>Tunisian Dinar</v>
      </c>
      <c r="G168" t="str">
        <f>IFERROR(__xludf.DUMMYFUNCTION("""COMPUTED_VALUE"""),"TND")</f>
        <v>TND</v>
      </c>
      <c r="I168" t="s">
        <v>790</v>
      </c>
      <c r="J168">
        <v>22602.09753595</v>
      </c>
    </row>
    <row r="169">
      <c r="A169" t="s">
        <v>791</v>
      </c>
      <c r="B169" t="s">
        <v>792</v>
      </c>
      <c r="C169" t="s">
        <v>793</v>
      </c>
      <c r="D169" t="s">
        <v>794</v>
      </c>
      <c r="F169" t="str">
        <f>IFERROR(__xludf.DUMMYFUNCTION("""COMPUTED_VALUE"""),"Turkish Lira")</f>
        <v>Turkish Lira</v>
      </c>
      <c r="G169" t="str">
        <f>IFERROR(__xludf.DUMMYFUNCTION("""COMPUTED_VALUE"""),"TRY")</f>
        <v>TRY</v>
      </c>
      <c r="I169" t="s">
        <v>795</v>
      </c>
      <c r="J169">
        <v>89136.98947314</v>
      </c>
    </row>
    <row r="170">
      <c r="A170" t="s">
        <v>796</v>
      </c>
      <c r="B170" t="s">
        <v>797</v>
      </c>
      <c r="C170" t="s">
        <v>798</v>
      </c>
      <c r="D170" t="s">
        <v>799</v>
      </c>
      <c r="F170" t="str">
        <f>IFERROR(__xludf.DUMMYFUNCTION("""COMPUTED_VALUE"""),"Turkmenistani Manat")</f>
        <v>Turkmenistani Manat</v>
      </c>
      <c r="G170" t="str">
        <f>IFERROR(__xludf.DUMMYFUNCTION("""COMPUTED_VALUE"""),"TMT")</f>
        <v>TMT</v>
      </c>
      <c r="I170" t="s">
        <v>800</v>
      </c>
      <c r="J170">
        <v>2.97960308</v>
      </c>
    </row>
    <row r="171">
      <c r="A171" t="s">
        <v>801</v>
      </c>
      <c r="B171" t="s">
        <v>802</v>
      </c>
      <c r="C171" t="s">
        <v>803</v>
      </c>
      <c r="D171" t="s">
        <v>804</v>
      </c>
      <c r="F171" t="str">
        <f>IFERROR(__xludf.DUMMYFUNCTION("""COMPUTED_VALUE"""),"Ugandan Shilling")</f>
        <v>Ugandan Shilling</v>
      </c>
      <c r="G171" t="str">
        <f>IFERROR(__xludf.DUMMYFUNCTION("""COMPUTED_VALUE"""),"UGX")</f>
        <v>UGX</v>
      </c>
      <c r="I171" t="s">
        <v>805</v>
      </c>
      <c r="J171">
        <v>0.10252006</v>
      </c>
    </row>
    <row r="172">
      <c r="A172" t="s">
        <v>806</v>
      </c>
      <c r="B172" t="s">
        <v>807</v>
      </c>
      <c r="C172" t="s">
        <v>808</v>
      </c>
      <c r="D172" t="s">
        <v>809</v>
      </c>
      <c r="F172" t="str">
        <f>IFERROR(__xludf.DUMMYFUNCTION("""COMPUTED_VALUE"""),"Ukrainian Hryvnia")</f>
        <v>Ukrainian Hryvnia</v>
      </c>
      <c r="G172" t="str">
        <f>IFERROR(__xludf.DUMMYFUNCTION("""COMPUTED_VALUE"""),"UAH")</f>
        <v>UAH</v>
      </c>
      <c r="I172" t="s">
        <v>810</v>
      </c>
      <c r="J172">
        <v>0.1218788</v>
      </c>
    </row>
    <row r="173">
      <c r="A173" t="s">
        <v>811</v>
      </c>
      <c r="B173" t="s">
        <v>812</v>
      </c>
      <c r="C173" t="s">
        <v>813</v>
      </c>
      <c r="D173" t="s">
        <v>814</v>
      </c>
      <c r="F173" t="str">
        <f>IFERROR(__xludf.DUMMYFUNCTION("""COMPUTED_VALUE"""),"Uniswap")</f>
        <v>Uniswap</v>
      </c>
      <c r="G173" t="str">
        <f>IFERROR(__xludf.DUMMYFUNCTION("""COMPUTED_VALUE"""),"UNI")</f>
        <v>UNI</v>
      </c>
      <c r="I173" t="s">
        <v>815</v>
      </c>
      <c r="J173">
        <v>334.68422716</v>
      </c>
    </row>
    <row r="174">
      <c r="A174" t="s">
        <v>816</v>
      </c>
      <c r="B174" t="s">
        <v>817</v>
      </c>
      <c r="C174" t="s">
        <v>817</v>
      </c>
      <c r="D174" t="s">
        <v>818</v>
      </c>
      <c r="F174" t="str">
        <f>IFERROR(__xludf.DUMMYFUNCTION("""COMPUTED_VALUE"""),"Uruguayan Peso")</f>
        <v>Uruguayan Peso</v>
      </c>
      <c r="G174" t="str">
        <f>IFERROR(__xludf.DUMMYFUNCTION("""COMPUTED_VALUE"""),"UYU")</f>
        <v>UYU</v>
      </c>
      <c r="I174" t="s">
        <v>819</v>
      </c>
      <c r="J174">
        <v>94.76972563</v>
      </c>
    </row>
    <row r="175">
      <c r="A175" t="s">
        <v>820</v>
      </c>
      <c r="B175" t="s">
        <v>821</v>
      </c>
      <c r="C175" t="s">
        <v>822</v>
      </c>
      <c r="D175" t="s">
        <v>823</v>
      </c>
      <c r="F175" t="str">
        <f>IFERROR(__xludf.DUMMYFUNCTION("""COMPUTED_VALUE"""),"USDC")</f>
        <v>USDC</v>
      </c>
      <c r="G175" t="str">
        <f>IFERROR(__xludf.DUMMYFUNCTION("""COMPUTED_VALUE"""),"USDC")</f>
        <v>USDC</v>
      </c>
      <c r="I175" t="s">
        <v>824</v>
      </c>
      <c r="J175">
        <v>179.95090926</v>
      </c>
    </row>
    <row r="176">
      <c r="A176" t="s">
        <v>825</v>
      </c>
      <c r="B176" t="s">
        <v>825</v>
      </c>
      <c r="C176" t="s">
        <v>11</v>
      </c>
      <c r="D176" t="s">
        <v>826</v>
      </c>
      <c r="F176" t="str">
        <f>IFERROR(__xludf.DUMMYFUNCTION("""COMPUTED_VALUE"""),"USDP Stablecoin")</f>
        <v>USDP Stablecoin</v>
      </c>
      <c r="G176" t="str">
        <f>IFERROR(__xludf.DUMMYFUNCTION("""COMPUTED_VALUE"""),"USDP")</f>
        <v>USDP</v>
      </c>
      <c r="I176" t="s">
        <v>827</v>
      </c>
      <c r="J176">
        <v>16.54463648</v>
      </c>
    </row>
    <row r="177">
      <c r="A177" t="s">
        <v>828</v>
      </c>
      <c r="B177" t="s">
        <v>829</v>
      </c>
      <c r="C177" t="s">
        <v>11</v>
      </c>
      <c r="D177" t="s">
        <v>830</v>
      </c>
      <c r="F177" t="str">
        <f>IFERROR(__xludf.DUMMYFUNCTION("""COMPUTED_VALUE"""),"Uzbekistani Som")</f>
        <v>Uzbekistani Som</v>
      </c>
      <c r="G177" t="str">
        <f>IFERROR(__xludf.DUMMYFUNCTION("""COMPUTED_VALUE"""),"UZS")</f>
        <v>UZS</v>
      </c>
      <c r="I177" t="s">
        <v>831</v>
      </c>
      <c r="J177">
        <v>0.022497959</v>
      </c>
    </row>
    <row r="178">
      <c r="A178" t="s">
        <v>832</v>
      </c>
      <c r="B178" t="s">
        <v>833</v>
      </c>
      <c r="C178" t="s">
        <v>834</v>
      </c>
      <c r="D178" t="s">
        <v>835</v>
      </c>
      <c r="F178" t="str">
        <f>IFERROR(__xludf.DUMMYFUNCTION("""COMPUTED_VALUE"""),"Venezuelan Bolívar")</f>
        <v>Venezuelan Bolívar</v>
      </c>
      <c r="G178" t="str">
        <f>IFERROR(__xludf.DUMMYFUNCTION("""COMPUTED_VALUE"""),"VES")</f>
        <v>VES</v>
      </c>
      <c r="I178" t="s">
        <v>836</v>
      </c>
      <c r="J178">
        <v>2.99484727</v>
      </c>
    </row>
    <row r="179">
      <c r="A179" t="s">
        <v>837</v>
      </c>
      <c r="B179" t="s">
        <v>838</v>
      </c>
      <c r="C179" t="s">
        <v>112</v>
      </c>
      <c r="D179" t="s">
        <v>839</v>
      </c>
      <c r="F179" t="str">
        <f>IFERROR(__xludf.DUMMYFUNCTION("""COMPUTED_VALUE"""),"Vietnamese Dong")</f>
        <v>Vietnamese Dong</v>
      </c>
      <c r="G179" t="str">
        <f>IFERROR(__xludf.DUMMYFUNCTION("""COMPUTED_VALUE"""),"VND")</f>
        <v>VND</v>
      </c>
      <c r="I179" t="s">
        <v>840</v>
      </c>
      <c r="J179">
        <v>34.9895272</v>
      </c>
    </row>
    <row r="180">
      <c r="A180" t="s">
        <v>841</v>
      </c>
      <c r="B180" t="s">
        <v>842</v>
      </c>
      <c r="C180" t="s">
        <v>843</v>
      </c>
      <c r="D180" t="s">
        <v>844</v>
      </c>
      <c r="F180" t="str">
        <f>IFERROR(__xludf.DUMMYFUNCTION("""COMPUTED_VALUE"""),"Yemeni Rial")</f>
        <v>Yemeni Rial</v>
      </c>
      <c r="G180" t="str">
        <f>IFERROR(__xludf.DUMMYFUNCTION("""COMPUTED_VALUE"""),"YER")</f>
        <v>YER</v>
      </c>
      <c r="I180" t="s">
        <v>845</v>
      </c>
      <c r="J180">
        <v>24.39214212</v>
      </c>
    </row>
    <row r="181">
      <c r="A181" t="s">
        <v>846</v>
      </c>
      <c r="B181" t="s">
        <v>847</v>
      </c>
      <c r="C181" t="s">
        <v>394</v>
      </c>
      <c r="D181" t="s">
        <v>848</v>
      </c>
      <c r="F181" t="str">
        <f>IFERROR(__xludf.DUMMYFUNCTION("""COMPUTED_VALUE"""),"Zambian Kwacha")</f>
        <v>Zambian Kwacha</v>
      </c>
      <c r="G181" t="str">
        <f>IFERROR(__xludf.DUMMYFUNCTION("""COMPUTED_VALUE"""),"ZMK")</f>
        <v>ZMK</v>
      </c>
      <c r="I181" t="s">
        <v>849</v>
      </c>
      <c r="J181">
        <v>20170.62888258</v>
      </c>
    </row>
    <row r="182">
      <c r="A182" t="s">
        <v>850</v>
      </c>
      <c r="B182" t="s">
        <v>851</v>
      </c>
      <c r="C182" t="s">
        <v>852</v>
      </c>
      <c r="D182" t="s">
        <v>853</v>
      </c>
      <c r="F182" t="str">
        <f>IFERROR(__xludf.DUMMYFUNCTION("""COMPUTED_VALUE"""),"Zambian Kwacha")</f>
        <v>Zambian Kwacha</v>
      </c>
      <c r="G182" t="str">
        <f>IFERROR(__xludf.DUMMYFUNCTION("""COMPUTED_VALUE"""),"ZMW")</f>
        <v>ZMW</v>
      </c>
      <c r="I182" t="s">
        <v>854</v>
      </c>
      <c r="J182">
        <v>0.60958604</v>
      </c>
    </row>
    <row r="183">
      <c r="A183" t="s">
        <v>850</v>
      </c>
      <c r="B183" t="s">
        <v>855</v>
      </c>
      <c r="C183" t="s">
        <v>852</v>
      </c>
      <c r="D183" t="s">
        <v>856</v>
      </c>
      <c r="F183" t="str">
        <f>IFERROR(__xludf.DUMMYFUNCTION("""COMPUTED_VALUE"""),"Zimbabwean Dollar")</f>
        <v>Zimbabwean Dollar</v>
      </c>
      <c r="G183" t="str">
        <f>IFERROR(__xludf.DUMMYFUNCTION("""COMPUTED_VALUE"""),"ZWL")</f>
        <v>ZWL</v>
      </c>
      <c r="I183" t="s">
        <v>857</v>
      </c>
      <c r="J183">
        <v>6.37885337</v>
      </c>
    </row>
    <row r="184">
      <c r="A184" t="s">
        <v>858</v>
      </c>
      <c r="B184" t="s">
        <v>859</v>
      </c>
      <c r="C184" t="s">
        <v>860</v>
      </c>
      <c r="D184" t="s">
        <v>861</v>
      </c>
      <c r="I184" t="s">
        <v>862</v>
      </c>
      <c r="J184">
        <v>9.32745733</v>
      </c>
    </row>
    <row r="185">
      <c r="D185" t="s">
        <v>863</v>
      </c>
      <c r="I185" t="s">
        <v>864</v>
      </c>
      <c r="J185">
        <v>14.97752462</v>
      </c>
    </row>
    <row r="186">
      <c r="D186" t="s">
        <v>863</v>
      </c>
      <c r="I186" t="s">
        <v>865</v>
      </c>
      <c r="J186">
        <v>46.35933178</v>
      </c>
    </row>
    <row r="187">
      <c r="D187" t="s">
        <v>863</v>
      </c>
      <c r="I187" t="s">
        <v>866</v>
      </c>
      <c r="J187">
        <v>17.41987768</v>
      </c>
    </row>
    <row r="188">
      <c r="D188" t="s">
        <v>863</v>
      </c>
      <c r="I188" t="s">
        <v>867</v>
      </c>
      <c r="J188">
        <v>4266.54131931</v>
      </c>
    </row>
    <row r="189">
      <c r="D189" t="s">
        <v>863</v>
      </c>
      <c r="I189" t="s">
        <v>868</v>
      </c>
      <c r="J189">
        <v>21332.70659655</v>
      </c>
    </row>
    <row r="190">
      <c r="D190" t="s">
        <v>863</v>
      </c>
      <c r="I190" t="s">
        <v>869</v>
      </c>
      <c r="J190">
        <v>24.28456653</v>
      </c>
    </row>
    <row r="191">
      <c r="D191" t="s">
        <v>863</v>
      </c>
      <c r="I191" t="s">
        <v>870</v>
      </c>
      <c r="J191">
        <v>53.32944585</v>
      </c>
    </row>
    <row r="192">
      <c r="D192" t="s">
        <v>863</v>
      </c>
      <c r="I192" t="s">
        <v>871</v>
      </c>
      <c r="J192">
        <v>6.7435052E-4</v>
      </c>
    </row>
    <row r="193">
      <c r="D193" t="s">
        <v>863</v>
      </c>
      <c r="I193" t="s">
        <v>872</v>
      </c>
      <c r="J193">
        <v>2100.42661484</v>
      </c>
    </row>
    <row r="194">
      <c r="D194" t="s">
        <v>863</v>
      </c>
      <c r="I194" t="s">
        <v>873</v>
      </c>
      <c r="J194">
        <v>3598.1034161</v>
      </c>
    </row>
    <row r="195">
      <c r="D195" t="s">
        <v>863</v>
      </c>
      <c r="I195" t="s">
        <v>874</v>
      </c>
      <c r="J195">
        <v>8.0771414</v>
      </c>
    </row>
    <row r="196">
      <c r="D196" t="s">
        <v>863</v>
      </c>
      <c r="I196" t="s">
        <v>875</v>
      </c>
      <c r="J196">
        <v>400.6788548</v>
      </c>
    </row>
    <row r="197">
      <c r="D197" t="s">
        <v>863</v>
      </c>
      <c r="I197" t="s">
        <v>876</v>
      </c>
      <c r="J197">
        <v>40.06788548</v>
      </c>
    </row>
    <row r="198">
      <c r="D198" t="s">
        <v>863</v>
      </c>
      <c r="I198" t="s">
        <v>877</v>
      </c>
      <c r="J198">
        <v>0.37236096</v>
      </c>
    </row>
    <row r="199">
      <c r="D199" t="s">
        <v>863</v>
      </c>
      <c r="I199" t="s">
        <v>878</v>
      </c>
      <c r="J199">
        <v>46.98168962</v>
      </c>
    </row>
    <row r="200">
      <c r="D200" t="s">
        <v>863</v>
      </c>
      <c r="I200" t="s">
        <v>879</v>
      </c>
      <c r="J200">
        <v>15.45852543</v>
      </c>
    </row>
    <row r="201">
      <c r="D201" t="s">
        <v>863</v>
      </c>
      <c r="I201" t="s">
        <v>880</v>
      </c>
      <c r="J201">
        <v>1728.1181799</v>
      </c>
    </row>
    <row r="202">
      <c r="D202" t="s">
        <v>863</v>
      </c>
      <c r="I202" t="s">
        <v>881</v>
      </c>
      <c r="J202">
        <v>17.34480518</v>
      </c>
    </row>
    <row r="203">
      <c r="D203" t="s">
        <v>863</v>
      </c>
      <c r="I203" t="s">
        <v>882</v>
      </c>
      <c r="J203">
        <v>1.970999</v>
      </c>
    </row>
    <row r="204">
      <c r="D204" t="s">
        <v>863</v>
      </c>
      <c r="I204" t="s">
        <v>883</v>
      </c>
      <c r="J204">
        <v>4.08543314</v>
      </c>
    </row>
    <row r="205">
      <c r="D205" t="s">
        <v>863</v>
      </c>
      <c r="I205" t="s">
        <v>884</v>
      </c>
      <c r="J205">
        <v>63820.9362633</v>
      </c>
    </row>
    <row r="206">
      <c r="D206" t="s">
        <v>863</v>
      </c>
      <c r="I206" t="s">
        <v>885</v>
      </c>
      <c r="J206">
        <v>63.82093626</v>
      </c>
    </row>
    <row r="207">
      <c r="D207" t="s">
        <v>863</v>
      </c>
      <c r="I207" t="s">
        <v>886</v>
      </c>
      <c r="J207">
        <v>16.54463648</v>
      </c>
    </row>
    <row r="208">
      <c r="D208" t="s">
        <v>863</v>
      </c>
      <c r="I208" t="s">
        <v>887</v>
      </c>
      <c r="J208">
        <v>0.60095119</v>
      </c>
    </row>
    <row r="209">
      <c r="D209" t="s">
        <v>863</v>
      </c>
      <c r="I209" t="s">
        <v>888</v>
      </c>
      <c r="J209">
        <v>0.53695272</v>
      </c>
    </row>
    <row r="210">
      <c r="D210" t="s">
        <v>863</v>
      </c>
      <c r="I210" t="s">
        <v>889</v>
      </c>
      <c r="J210">
        <v>1.39228127</v>
      </c>
    </row>
    <row r="211">
      <c r="D211" t="s">
        <v>863</v>
      </c>
      <c r="I211" t="s">
        <v>890</v>
      </c>
      <c r="J211">
        <v>3719694.67352638</v>
      </c>
    </row>
    <row r="212">
      <c r="D212" t="s">
        <v>863</v>
      </c>
      <c r="I212" t="s">
        <v>891</v>
      </c>
      <c r="J212">
        <v>1363.19985525</v>
      </c>
    </row>
    <row r="213">
      <c r="D213" t="s">
        <v>863</v>
      </c>
      <c r="I213" t="s">
        <v>892</v>
      </c>
      <c r="J213">
        <v>36.69009884</v>
      </c>
    </row>
    <row r="214">
      <c r="D214" t="s">
        <v>863</v>
      </c>
      <c r="I214" t="s">
        <v>893</v>
      </c>
      <c r="J214">
        <v>1.91142692</v>
      </c>
    </row>
    <row r="215">
      <c r="D215" t="s">
        <v>863</v>
      </c>
      <c r="I215" t="s">
        <v>894</v>
      </c>
      <c r="J215">
        <v>9.48624435</v>
      </c>
    </row>
    <row r="216">
      <c r="D216" t="s">
        <v>863</v>
      </c>
      <c r="I216" t="s">
        <v>895</v>
      </c>
      <c r="J216">
        <v>152.74350322</v>
      </c>
    </row>
    <row r="217">
      <c r="D217" t="s">
        <v>863</v>
      </c>
      <c r="I217" t="s">
        <v>896</v>
      </c>
      <c r="J217">
        <v>1.70117751</v>
      </c>
    </row>
    <row r="218">
      <c r="D218" t="s">
        <v>863</v>
      </c>
      <c r="I218" t="s">
        <v>897</v>
      </c>
      <c r="J218">
        <v>0.011607003</v>
      </c>
    </row>
    <row r="219">
      <c r="D219" t="s">
        <v>863</v>
      </c>
      <c r="I219" t="s">
        <v>898</v>
      </c>
      <c r="J219">
        <v>0.38463639</v>
      </c>
    </row>
    <row r="220">
      <c r="D220" t="s">
        <v>863</v>
      </c>
      <c r="I220" t="s">
        <v>899</v>
      </c>
      <c r="J220">
        <v>822.05520443</v>
      </c>
    </row>
    <row r="221">
      <c r="D221" t="s">
        <v>863</v>
      </c>
      <c r="I221" t="s">
        <v>900</v>
      </c>
      <c r="J221">
        <v>11.70800592</v>
      </c>
    </row>
    <row r="222">
      <c r="D222" t="s">
        <v>863</v>
      </c>
      <c r="I222" t="s">
        <v>901</v>
      </c>
      <c r="J222">
        <v>0.28557828</v>
      </c>
    </row>
    <row r="223">
      <c r="D223" t="s">
        <v>863</v>
      </c>
      <c r="I223" t="s">
        <v>902</v>
      </c>
      <c r="J223">
        <v>1.0</v>
      </c>
    </row>
    <row r="224">
      <c r="D224" t="s">
        <v>863</v>
      </c>
      <c r="I224" t="s">
        <v>903</v>
      </c>
      <c r="J224">
        <v>2.4754327E-4</v>
      </c>
    </row>
    <row r="225">
      <c r="D225" t="s">
        <v>863</v>
      </c>
      <c r="I225" t="s">
        <v>904</v>
      </c>
      <c r="J225">
        <v>3.38954467</v>
      </c>
    </row>
    <row r="226">
      <c r="D226" t="s">
        <v>863</v>
      </c>
      <c r="I226" t="s">
        <v>905</v>
      </c>
      <c r="J226">
        <v>360933.41812872</v>
      </c>
    </row>
    <row r="227">
      <c r="D227" t="s">
        <v>863</v>
      </c>
      <c r="I227" t="s">
        <v>906</v>
      </c>
      <c r="J227">
        <v>4.41776632</v>
      </c>
    </row>
    <row r="228">
      <c r="D228" t="s">
        <v>863</v>
      </c>
      <c r="I228" t="s">
        <v>907</v>
      </c>
      <c r="J228">
        <v>61.24461311</v>
      </c>
    </row>
    <row r="229">
      <c r="D229" t="s">
        <v>863</v>
      </c>
      <c r="I229" t="s">
        <v>908</v>
      </c>
      <c r="J229">
        <v>11.90669581</v>
      </c>
    </row>
    <row r="230">
      <c r="D230" t="s">
        <v>863</v>
      </c>
      <c r="I230" t="s">
        <v>909</v>
      </c>
      <c r="J230">
        <v>276.89015263</v>
      </c>
    </row>
    <row r="231">
      <c r="D231" t="s">
        <v>863</v>
      </c>
      <c r="I231" t="s">
        <v>910</v>
      </c>
      <c r="J231">
        <v>3.73729467</v>
      </c>
    </row>
    <row r="232">
      <c r="D232" t="s">
        <v>863</v>
      </c>
      <c r="I232" t="s">
        <v>911</v>
      </c>
      <c r="J232">
        <v>13.92595685</v>
      </c>
    </row>
    <row r="233">
      <c r="D233" t="s">
        <v>863</v>
      </c>
      <c r="I233" t="s">
        <v>912</v>
      </c>
      <c r="J233">
        <v>173.8916158</v>
      </c>
    </row>
    <row r="234">
      <c r="D234" t="s">
        <v>863</v>
      </c>
      <c r="I234" t="s">
        <v>913</v>
      </c>
      <c r="J234">
        <v>5942.44231053</v>
      </c>
    </row>
    <row r="235">
      <c r="D235" t="s">
        <v>863</v>
      </c>
      <c r="I235" t="s">
        <v>914</v>
      </c>
      <c r="J235">
        <v>3.64</v>
      </c>
    </row>
    <row r="236">
      <c r="D236" t="s">
        <v>863</v>
      </c>
      <c r="I236" t="s">
        <v>915</v>
      </c>
      <c r="J236">
        <v>0.016527354</v>
      </c>
    </row>
    <row r="237">
      <c r="D237" t="s">
        <v>863</v>
      </c>
      <c r="I237" t="s">
        <v>916</v>
      </c>
      <c r="J237">
        <v>1.53958119</v>
      </c>
    </row>
    <row r="238">
      <c r="D238" t="s">
        <v>863</v>
      </c>
      <c r="I238" t="s">
        <v>917</v>
      </c>
      <c r="J238">
        <v>45488.93971507</v>
      </c>
    </row>
    <row r="239">
      <c r="D239" t="s">
        <v>863</v>
      </c>
      <c r="I239" t="s">
        <v>918</v>
      </c>
      <c r="J239">
        <v>4.54889397</v>
      </c>
    </row>
    <row r="240">
      <c r="D240" t="s">
        <v>863</v>
      </c>
      <c r="I240" t="s">
        <v>919</v>
      </c>
      <c r="J240">
        <v>0.63543475</v>
      </c>
    </row>
    <row r="241">
      <c r="D241" t="s">
        <v>863</v>
      </c>
      <c r="I241" t="s">
        <v>920</v>
      </c>
      <c r="J241">
        <v>102.0471191</v>
      </c>
    </row>
    <row r="242">
      <c r="D242" t="s">
        <v>863</v>
      </c>
      <c r="I242" t="s">
        <v>921</v>
      </c>
      <c r="J242">
        <v>79.31474744</v>
      </c>
    </row>
    <row r="243">
      <c r="D243" t="s">
        <v>863</v>
      </c>
      <c r="I243" t="s">
        <v>922</v>
      </c>
      <c r="J243">
        <v>2.32028577</v>
      </c>
    </row>
    <row r="244">
      <c r="D244" t="s">
        <v>863</v>
      </c>
      <c r="I244" t="s">
        <v>923</v>
      </c>
      <c r="J244">
        <v>276.68268822</v>
      </c>
    </row>
    <row r="245">
      <c r="D245" t="s">
        <v>863</v>
      </c>
      <c r="I245" t="s">
        <v>924</v>
      </c>
      <c r="J245">
        <v>1465.02999426</v>
      </c>
    </row>
    <row r="246">
      <c r="D246" t="s">
        <v>863</v>
      </c>
      <c r="I246" t="s">
        <v>925</v>
      </c>
      <c r="J246">
        <v>23.08485186</v>
      </c>
    </row>
    <row r="247">
      <c r="D247" t="s">
        <v>863</v>
      </c>
      <c r="I247" t="s">
        <v>926</v>
      </c>
      <c r="J247">
        <v>3.75</v>
      </c>
    </row>
    <row r="248">
      <c r="D248" t="s">
        <v>863</v>
      </c>
      <c r="I248" t="s">
        <v>927</v>
      </c>
      <c r="J248">
        <v>8.08066304</v>
      </c>
    </row>
    <row r="249">
      <c r="D249" t="s">
        <v>863</v>
      </c>
      <c r="I249" t="s">
        <v>928</v>
      </c>
      <c r="J249">
        <v>13.50362445</v>
      </c>
    </row>
    <row r="250">
      <c r="D250" t="s">
        <v>863</v>
      </c>
      <c r="I250" t="s">
        <v>929</v>
      </c>
      <c r="J250">
        <v>60019.46896629</v>
      </c>
    </row>
    <row r="251">
      <c r="D251" t="s">
        <v>863</v>
      </c>
      <c r="I251" t="s">
        <v>930</v>
      </c>
      <c r="J251">
        <v>600.19468966</v>
      </c>
    </row>
    <row r="252">
      <c r="D252" t="s">
        <v>863</v>
      </c>
      <c r="I252" t="s">
        <v>931</v>
      </c>
      <c r="J252">
        <v>9.5220761</v>
      </c>
    </row>
    <row r="253">
      <c r="D253" t="s">
        <v>863</v>
      </c>
      <c r="I253" t="s">
        <v>932</v>
      </c>
      <c r="J253">
        <v>1.28208222</v>
      </c>
    </row>
    <row r="254">
      <c r="D254" t="s">
        <v>863</v>
      </c>
      <c r="I254" t="s">
        <v>933</v>
      </c>
      <c r="J254">
        <v>202604.65059592</v>
      </c>
    </row>
    <row r="255">
      <c r="D255" t="s">
        <v>863</v>
      </c>
      <c r="I255" t="s">
        <v>934</v>
      </c>
      <c r="J255">
        <v>0.74188341</v>
      </c>
    </row>
    <row r="256">
      <c r="D256" t="s">
        <v>863</v>
      </c>
      <c r="I256" t="s">
        <v>935</v>
      </c>
      <c r="J256">
        <v>207.85600109</v>
      </c>
    </row>
    <row r="257">
      <c r="D257" t="s">
        <v>863</v>
      </c>
      <c r="I257" t="s">
        <v>936</v>
      </c>
      <c r="J257">
        <v>26.13032002</v>
      </c>
    </row>
    <row r="258">
      <c r="D258" t="s">
        <v>863</v>
      </c>
      <c r="I258" t="s">
        <v>937</v>
      </c>
      <c r="J258">
        <v>22.90003078</v>
      </c>
    </row>
    <row r="259">
      <c r="D259" t="s">
        <v>863</v>
      </c>
      <c r="I259" t="s">
        <v>938</v>
      </c>
      <c r="J259">
        <v>22900.03078055</v>
      </c>
    </row>
    <row r="260">
      <c r="D260" t="s">
        <v>863</v>
      </c>
      <c r="I260" t="s">
        <v>939</v>
      </c>
      <c r="J260">
        <v>4.66734285</v>
      </c>
    </row>
    <row r="261">
      <c r="D261" t="s">
        <v>863</v>
      </c>
      <c r="I261" t="s">
        <v>940</v>
      </c>
      <c r="J261">
        <v>0.013727575</v>
      </c>
    </row>
    <row r="262">
      <c r="D262" t="s">
        <v>863</v>
      </c>
      <c r="I262" t="s">
        <v>941</v>
      </c>
      <c r="J262">
        <v>570.98105819</v>
      </c>
    </row>
    <row r="263">
      <c r="D263" t="s">
        <v>863</v>
      </c>
      <c r="I263" t="s">
        <v>942</v>
      </c>
      <c r="J263">
        <v>0.16666667</v>
      </c>
    </row>
    <row r="264">
      <c r="D264" t="s">
        <v>863</v>
      </c>
      <c r="I264" t="s">
        <v>943</v>
      </c>
      <c r="J264">
        <v>37.77783517</v>
      </c>
    </row>
    <row r="265">
      <c r="D265" t="s">
        <v>863</v>
      </c>
      <c r="I265" t="s">
        <v>944</v>
      </c>
      <c r="J265">
        <v>37777.83516708</v>
      </c>
    </row>
    <row r="266">
      <c r="D266" t="s">
        <v>863</v>
      </c>
      <c r="I266" t="s">
        <v>945</v>
      </c>
      <c r="J266">
        <v>5000.13860719</v>
      </c>
    </row>
    <row r="267">
      <c r="D267" t="s">
        <v>863</v>
      </c>
      <c r="I267" t="s">
        <v>946</v>
      </c>
      <c r="J267">
        <v>21241.89216851</v>
      </c>
    </row>
    <row r="268">
      <c r="D268" t="s">
        <v>863</v>
      </c>
      <c r="I268" t="s">
        <v>947</v>
      </c>
      <c r="J268">
        <v>21.24189217</v>
      </c>
    </row>
    <row r="269">
      <c r="D269" t="s">
        <v>863</v>
      </c>
      <c r="I269" t="s">
        <v>948</v>
      </c>
      <c r="J269">
        <v>7.28277774</v>
      </c>
    </row>
    <row r="270">
      <c r="D270" t="s">
        <v>863</v>
      </c>
      <c r="I270" t="s">
        <v>949</v>
      </c>
      <c r="J270">
        <v>1.46169345</v>
      </c>
    </row>
    <row r="271">
      <c r="D271" t="s">
        <v>863</v>
      </c>
      <c r="I271" t="s">
        <v>950</v>
      </c>
      <c r="J271">
        <v>8.75</v>
      </c>
    </row>
    <row r="272">
      <c r="D272" t="s">
        <v>863</v>
      </c>
      <c r="I272" t="s">
        <v>951</v>
      </c>
      <c r="J272">
        <v>16.54463648</v>
      </c>
    </row>
    <row r="273">
      <c r="D273" t="s">
        <v>863</v>
      </c>
      <c r="I273" t="s">
        <v>952</v>
      </c>
      <c r="J273">
        <v>33.44254537</v>
      </c>
    </row>
    <row r="274">
      <c r="D274" t="s">
        <v>863</v>
      </c>
      <c r="I274" t="s">
        <v>953</v>
      </c>
      <c r="J274">
        <v>7.94597431</v>
      </c>
    </row>
    <row r="275">
      <c r="D275" t="s">
        <v>863</v>
      </c>
      <c r="I275" t="s">
        <v>954</v>
      </c>
      <c r="J275">
        <v>9.21829568</v>
      </c>
    </row>
    <row r="276">
      <c r="D276" t="s">
        <v>863</v>
      </c>
      <c r="I276" t="s">
        <v>955</v>
      </c>
      <c r="J276">
        <v>17147.36385392</v>
      </c>
    </row>
    <row r="277">
      <c r="D277" t="s">
        <v>863</v>
      </c>
      <c r="I277" t="s">
        <v>956</v>
      </c>
      <c r="J277">
        <v>3.42947277</v>
      </c>
    </row>
    <row r="278">
      <c r="D278" t="s">
        <v>863</v>
      </c>
      <c r="I278" t="s">
        <v>957</v>
      </c>
      <c r="J278">
        <v>2.94856518</v>
      </c>
    </row>
    <row r="279">
      <c r="D279" t="s">
        <v>863</v>
      </c>
      <c r="I279" t="s">
        <v>958</v>
      </c>
      <c r="J279">
        <v>2.39232836</v>
      </c>
    </row>
    <row r="280">
      <c r="D280" t="s">
        <v>863</v>
      </c>
      <c r="I280" t="s">
        <v>959</v>
      </c>
      <c r="J280">
        <v>4.758324865671254E7</v>
      </c>
    </row>
    <row r="281">
      <c r="D281" t="s">
        <v>863</v>
      </c>
      <c r="I281" t="s">
        <v>960</v>
      </c>
      <c r="J281">
        <v>3.06111359</v>
      </c>
    </row>
    <row r="282">
      <c r="D282" t="s">
        <v>863</v>
      </c>
      <c r="I282" t="s">
        <v>961</v>
      </c>
      <c r="J282">
        <v>47.58324866</v>
      </c>
    </row>
    <row r="283">
      <c r="D283" t="s">
        <v>863</v>
      </c>
      <c r="I283" t="s">
        <v>962</v>
      </c>
      <c r="J283">
        <v>6.77940982</v>
      </c>
    </row>
    <row r="284">
      <c r="D284" t="s">
        <v>863</v>
      </c>
      <c r="I284" t="s">
        <v>963</v>
      </c>
      <c r="J284">
        <v>1.00542511</v>
      </c>
    </row>
    <row r="285">
      <c r="D285" t="s">
        <v>863</v>
      </c>
      <c r="I285" t="s">
        <v>964</v>
      </c>
      <c r="J285">
        <v>1.42199701</v>
      </c>
    </row>
    <row r="286">
      <c r="D286" t="s">
        <v>863</v>
      </c>
      <c r="I286" t="s">
        <v>965</v>
      </c>
      <c r="J286">
        <v>32.30078332</v>
      </c>
    </row>
    <row r="287">
      <c r="D287" t="s">
        <v>863</v>
      </c>
      <c r="I287" t="s">
        <v>966</v>
      </c>
      <c r="J287">
        <v>2.68119355</v>
      </c>
    </row>
    <row r="288">
      <c r="D288" t="s">
        <v>863</v>
      </c>
      <c r="I288" t="s">
        <v>967</v>
      </c>
      <c r="J288">
        <v>2642.70029505</v>
      </c>
    </row>
    <row r="289">
      <c r="D289" t="s">
        <v>863</v>
      </c>
      <c r="I289" t="s">
        <v>968</v>
      </c>
      <c r="J289">
        <v>44.52303243</v>
      </c>
    </row>
    <row r="290">
      <c r="D290" t="s">
        <v>863</v>
      </c>
      <c r="I290" t="s">
        <v>969</v>
      </c>
      <c r="J290">
        <v>3749.33263973</v>
      </c>
    </row>
    <row r="291">
      <c r="D291" t="s">
        <v>863</v>
      </c>
      <c r="I291" t="s">
        <v>970</v>
      </c>
      <c r="J291">
        <v>0.23273483</v>
      </c>
    </row>
    <row r="292">
      <c r="D292" t="s">
        <v>863</v>
      </c>
      <c r="I292" t="s">
        <v>971</v>
      </c>
      <c r="J292">
        <v>1.0</v>
      </c>
    </row>
    <row r="293">
      <c r="D293" t="s">
        <v>863</v>
      </c>
      <c r="I293" t="s">
        <v>972</v>
      </c>
      <c r="J293">
        <v>1.00083182</v>
      </c>
    </row>
    <row r="294">
      <c r="D294" t="s">
        <v>863</v>
      </c>
      <c r="I294" t="s">
        <v>973</v>
      </c>
      <c r="J294">
        <v>1.00173758</v>
      </c>
    </row>
    <row r="295">
      <c r="D295" t="s">
        <v>863</v>
      </c>
      <c r="I295" t="s">
        <v>974</v>
      </c>
      <c r="J295">
        <v>1.00081184</v>
      </c>
    </row>
    <row r="296">
      <c r="D296" t="s">
        <v>863</v>
      </c>
      <c r="I296" t="s">
        <v>975</v>
      </c>
      <c r="J296">
        <v>1.00169395</v>
      </c>
    </row>
    <row r="297">
      <c r="D297" t="s">
        <v>863</v>
      </c>
      <c r="I297" t="s">
        <v>976</v>
      </c>
      <c r="J297">
        <v>40.10944682</v>
      </c>
    </row>
    <row r="298">
      <c r="D298" t="s">
        <v>863</v>
      </c>
      <c r="I298" t="s">
        <v>977</v>
      </c>
      <c r="J298">
        <v>11945.2236868</v>
      </c>
    </row>
    <row r="299">
      <c r="D299" t="s">
        <v>863</v>
      </c>
      <c r="I299" t="s">
        <v>978</v>
      </c>
      <c r="J299">
        <v>1679.45810059</v>
      </c>
    </row>
    <row r="300">
      <c r="D300" t="s">
        <v>863</v>
      </c>
      <c r="I300" t="s">
        <v>979</v>
      </c>
      <c r="J300">
        <v>7.465473363897487E10</v>
      </c>
    </row>
    <row r="301">
      <c r="D301" t="s">
        <v>863</v>
      </c>
      <c r="I301" t="s">
        <v>980</v>
      </c>
      <c r="J301">
        <v>746.53439356</v>
      </c>
    </row>
    <row r="302">
      <c r="D302" t="s">
        <v>863</v>
      </c>
      <c r="I302" t="s">
        <v>981</v>
      </c>
      <c r="J302">
        <v>7.46534393560992E7</v>
      </c>
    </row>
    <row r="303">
      <c r="D303" t="s">
        <v>863</v>
      </c>
      <c r="I303" t="s">
        <v>982</v>
      </c>
      <c r="J303">
        <v>746.53439356</v>
      </c>
    </row>
    <row r="304">
      <c r="D304" t="s">
        <v>863</v>
      </c>
      <c r="I304" t="s">
        <v>983</v>
      </c>
      <c r="J304">
        <v>210.55192593</v>
      </c>
    </row>
    <row r="305">
      <c r="D305" t="s">
        <v>863</v>
      </c>
      <c r="I305" t="s">
        <v>984</v>
      </c>
      <c r="J305">
        <v>26251.9096619</v>
      </c>
    </row>
    <row r="306">
      <c r="D306" t="s">
        <v>863</v>
      </c>
      <c r="I306" t="s">
        <v>985</v>
      </c>
      <c r="J306">
        <v>118.1502008</v>
      </c>
    </row>
    <row r="307">
      <c r="D307" t="s">
        <v>863</v>
      </c>
      <c r="I307" t="s">
        <v>986</v>
      </c>
      <c r="J307">
        <v>4.58897278</v>
      </c>
    </row>
    <row r="308">
      <c r="D308" t="s">
        <v>863</v>
      </c>
      <c r="I308" t="s">
        <v>987</v>
      </c>
      <c r="J308">
        <v>4.96860375</v>
      </c>
    </row>
    <row r="309">
      <c r="D309" t="s">
        <v>863</v>
      </c>
      <c r="I309" t="s">
        <v>988</v>
      </c>
      <c r="J309">
        <v>86.43974716</v>
      </c>
    </row>
    <row r="310">
      <c r="D310" t="s">
        <v>863</v>
      </c>
      <c r="I310" t="s">
        <v>989</v>
      </c>
      <c r="J310">
        <v>2.73449054</v>
      </c>
    </row>
    <row r="311">
      <c r="D311" t="s">
        <v>863</v>
      </c>
      <c r="I311" t="s">
        <v>990</v>
      </c>
      <c r="J311">
        <v>568.95592933</v>
      </c>
    </row>
    <row r="312">
      <c r="D312" t="s">
        <v>863</v>
      </c>
      <c r="I312" t="s">
        <v>991</v>
      </c>
      <c r="J312">
        <v>0.017343095</v>
      </c>
    </row>
    <row r="313">
      <c r="D313" t="s">
        <v>863</v>
      </c>
      <c r="I313" t="s">
        <v>992</v>
      </c>
      <c r="J313">
        <v>2.473603E-4</v>
      </c>
    </row>
    <row r="314">
      <c r="D314" t="s">
        <v>863</v>
      </c>
      <c r="I314" t="s">
        <v>993</v>
      </c>
      <c r="J314">
        <v>2.4782457E-4</v>
      </c>
    </row>
    <row r="315">
      <c r="D315" t="s">
        <v>863</v>
      </c>
      <c r="I315" t="s">
        <v>994</v>
      </c>
      <c r="J315">
        <v>1.58771E-5</v>
      </c>
    </row>
    <row r="316">
      <c r="D316" t="s">
        <v>863</v>
      </c>
      <c r="I316" t="s">
        <v>995</v>
      </c>
      <c r="J316">
        <v>2.70246723</v>
      </c>
    </row>
    <row r="317">
      <c r="D317" t="s">
        <v>863</v>
      </c>
      <c r="I317" t="s">
        <v>996</v>
      </c>
      <c r="J317">
        <v>1.79702303</v>
      </c>
    </row>
    <row r="318">
      <c r="D318" t="s">
        <v>863</v>
      </c>
      <c r="I318" t="s">
        <v>997</v>
      </c>
      <c r="J318">
        <v>0.69603138</v>
      </c>
    </row>
    <row r="319">
      <c r="D319" t="s">
        <v>863</v>
      </c>
      <c r="I319" t="s">
        <v>998</v>
      </c>
      <c r="J319">
        <v>38.4254513</v>
      </c>
    </row>
    <row r="320">
      <c r="D320" t="s">
        <v>863</v>
      </c>
      <c r="I320" t="s">
        <v>999</v>
      </c>
      <c r="J320">
        <v>0.72856308</v>
      </c>
    </row>
    <row r="321">
      <c r="D321" t="s">
        <v>863</v>
      </c>
      <c r="I321" t="s">
        <v>1000</v>
      </c>
      <c r="J321">
        <v>146784.03697848</v>
      </c>
    </row>
    <row r="322">
      <c r="D322" t="s">
        <v>863</v>
      </c>
      <c r="I322" t="s">
        <v>1001</v>
      </c>
      <c r="J322">
        <v>1976.3812608</v>
      </c>
    </row>
    <row r="323">
      <c r="D323" t="s">
        <v>863</v>
      </c>
      <c r="I323" t="s">
        <v>1002</v>
      </c>
      <c r="J323">
        <v>5.80705864</v>
      </c>
    </row>
    <row r="324">
      <c r="D324" t="s">
        <v>863</v>
      </c>
      <c r="I324" t="s">
        <v>1003</v>
      </c>
      <c r="J324">
        <v>0.0027436323</v>
      </c>
    </row>
    <row r="325">
      <c r="D325" t="s">
        <v>863</v>
      </c>
      <c r="I325" t="s">
        <v>1004</v>
      </c>
      <c r="J325">
        <v>568.95592933</v>
      </c>
    </row>
    <row r="326">
      <c r="D326" t="s">
        <v>863</v>
      </c>
      <c r="I326" t="s">
        <v>1005</v>
      </c>
      <c r="J326">
        <v>7.815705E-4</v>
      </c>
    </row>
    <row r="327">
      <c r="D327" t="s">
        <v>863</v>
      </c>
      <c r="I327" t="s">
        <v>1006</v>
      </c>
      <c r="J327">
        <v>103.50450152</v>
      </c>
    </row>
    <row r="328">
      <c r="D328" t="s">
        <v>863</v>
      </c>
      <c r="I328" t="s">
        <v>1007</v>
      </c>
      <c r="J328">
        <v>6.055157E-4</v>
      </c>
    </row>
    <row r="329">
      <c r="D329" t="s">
        <v>863</v>
      </c>
      <c r="I329" t="s">
        <v>1008</v>
      </c>
      <c r="J329">
        <v>0.94027513</v>
      </c>
    </row>
    <row r="330">
      <c r="D330" t="s">
        <v>863</v>
      </c>
      <c r="I330" t="s">
        <v>1009</v>
      </c>
      <c r="J330">
        <v>4.94299925</v>
      </c>
    </row>
    <row r="331">
      <c r="D331" t="s">
        <v>863</v>
      </c>
      <c r="I331" t="s">
        <v>1010</v>
      </c>
      <c r="J331">
        <v>238.29262572</v>
      </c>
    </row>
    <row r="332">
      <c r="D332" t="s">
        <v>863</v>
      </c>
      <c r="I332" t="s">
        <v>1011</v>
      </c>
      <c r="J332">
        <v>16.54463648</v>
      </c>
    </row>
    <row r="333">
      <c r="D333" t="s">
        <v>863</v>
      </c>
      <c r="I333" t="s">
        <v>1012</v>
      </c>
      <c r="J333">
        <v>0.0021756358</v>
      </c>
    </row>
    <row r="334">
      <c r="D334" t="s">
        <v>863</v>
      </c>
      <c r="I334" t="s">
        <v>1013</v>
      </c>
      <c r="J334">
        <v>369.18156381</v>
      </c>
    </row>
    <row r="335">
      <c r="D335" t="s">
        <v>863</v>
      </c>
      <c r="I335" t="s">
        <v>1014</v>
      </c>
      <c r="J335">
        <v>18750.55941207</v>
      </c>
    </row>
    <row r="336">
      <c r="D336" t="s">
        <v>863</v>
      </c>
      <c r="I336" t="s">
        <v>1015</v>
      </c>
      <c r="J336">
        <v>18.75055941</v>
      </c>
    </row>
    <row r="337">
      <c r="D337" t="s">
        <v>863</v>
      </c>
      <c r="I337" t="s">
        <v>1016</v>
      </c>
      <c r="J337">
        <v>361.9</v>
      </c>
    </row>
    <row r="338">
      <c r="D338" t="s">
        <v>863</v>
      </c>
      <c r="I338" t="s">
        <v>1017</v>
      </c>
      <c r="J338">
        <v>26.70485912</v>
      </c>
    </row>
    <row r="339">
      <c r="D339" t="s">
        <v>863</v>
      </c>
      <c r="I339" t="s">
        <v>1018</v>
      </c>
      <c r="J339">
        <v>66728.07773341</v>
      </c>
    </row>
    <row r="340">
      <c r="D340" t="s">
        <v>863</v>
      </c>
    </row>
    <row r="341">
      <c r="D341" t="s">
        <v>863</v>
      </c>
    </row>
    <row r="342">
      <c r="D342" t="s">
        <v>863</v>
      </c>
    </row>
    <row r="343">
      <c r="D343" t="s">
        <v>863</v>
      </c>
    </row>
    <row r="344">
      <c r="D344" t="s">
        <v>863</v>
      </c>
    </row>
    <row r="345">
      <c r="D345" t="s">
        <v>863</v>
      </c>
    </row>
    <row r="346">
      <c r="D346" t="s">
        <v>863</v>
      </c>
    </row>
    <row r="347">
      <c r="D347" t="s">
        <v>863</v>
      </c>
    </row>
    <row r="348">
      <c r="D348" t="s">
        <v>863</v>
      </c>
    </row>
    <row r="349">
      <c r="D349" t="s">
        <v>863</v>
      </c>
    </row>
    <row r="350">
      <c r="D350" t="s">
        <v>863</v>
      </c>
    </row>
    <row r="351">
      <c r="D351" t="s">
        <v>863</v>
      </c>
    </row>
    <row r="352">
      <c r="D352" t="s">
        <v>863</v>
      </c>
    </row>
    <row r="353">
      <c r="D353" t="s">
        <v>863</v>
      </c>
    </row>
    <row r="354">
      <c r="D354" t="s">
        <v>863</v>
      </c>
    </row>
    <row r="355">
      <c r="D355" t="s">
        <v>863</v>
      </c>
    </row>
    <row r="356">
      <c r="D356" t="s">
        <v>863</v>
      </c>
    </row>
    <row r="357">
      <c r="D357" t="s">
        <v>863</v>
      </c>
    </row>
    <row r="358">
      <c r="D358" t="s">
        <v>863</v>
      </c>
    </row>
    <row r="359">
      <c r="D359" t="s">
        <v>863</v>
      </c>
    </row>
    <row r="360">
      <c r="D360" t="s">
        <v>863</v>
      </c>
    </row>
    <row r="361">
      <c r="D361" t="s">
        <v>863</v>
      </c>
    </row>
    <row r="362">
      <c r="D362" t="s">
        <v>863</v>
      </c>
    </row>
    <row r="363">
      <c r="D363" t="s">
        <v>863</v>
      </c>
    </row>
    <row r="364">
      <c r="D364" t="s">
        <v>863</v>
      </c>
    </row>
    <row r="365">
      <c r="D365" t="s">
        <v>863</v>
      </c>
    </row>
    <row r="366">
      <c r="D366" t="s">
        <v>863</v>
      </c>
    </row>
    <row r="367">
      <c r="D367" t="s">
        <v>863</v>
      </c>
    </row>
    <row r="368">
      <c r="D368" t="s">
        <v>863</v>
      </c>
    </row>
    <row r="369">
      <c r="D369" t="s">
        <v>863</v>
      </c>
    </row>
    <row r="370">
      <c r="D370" t="s">
        <v>863</v>
      </c>
    </row>
    <row r="371">
      <c r="D371" t="s">
        <v>863</v>
      </c>
    </row>
    <row r="372">
      <c r="D372" t="s">
        <v>863</v>
      </c>
    </row>
    <row r="373">
      <c r="D373" t="s">
        <v>863</v>
      </c>
    </row>
    <row r="374">
      <c r="D374" t="s">
        <v>863</v>
      </c>
    </row>
    <row r="375">
      <c r="D375" t="s">
        <v>863</v>
      </c>
    </row>
    <row r="376">
      <c r="D376" t="s">
        <v>863</v>
      </c>
    </row>
    <row r="377">
      <c r="D377" t="s">
        <v>863</v>
      </c>
    </row>
    <row r="378">
      <c r="D378" t="s">
        <v>863</v>
      </c>
    </row>
    <row r="379">
      <c r="D379" t="s">
        <v>863</v>
      </c>
    </row>
    <row r="380">
      <c r="D380" t="s">
        <v>863</v>
      </c>
    </row>
    <row r="381">
      <c r="D381" t="s">
        <v>863</v>
      </c>
    </row>
    <row r="382">
      <c r="D382" t="s">
        <v>863</v>
      </c>
    </row>
    <row r="383">
      <c r="D383" t="s">
        <v>863</v>
      </c>
    </row>
    <row r="384">
      <c r="D384" t="s">
        <v>863</v>
      </c>
    </row>
    <row r="385">
      <c r="D385" t="s">
        <v>863</v>
      </c>
    </row>
    <row r="386">
      <c r="D386" t="s">
        <v>863</v>
      </c>
    </row>
    <row r="387">
      <c r="D387" t="s">
        <v>863</v>
      </c>
    </row>
    <row r="388">
      <c r="D388" t="s">
        <v>863</v>
      </c>
    </row>
    <row r="389">
      <c r="D389" t="s">
        <v>863</v>
      </c>
    </row>
    <row r="390">
      <c r="D390" t="s">
        <v>863</v>
      </c>
    </row>
    <row r="391">
      <c r="D391" t="s">
        <v>863</v>
      </c>
    </row>
    <row r="392">
      <c r="D392" t="s">
        <v>863</v>
      </c>
    </row>
    <row r="393">
      <c r="D393" t="s">
        <v>863</v>
      </c>
    </row>
    <row r="394">
      <c r="D394" t="s">
        <v>863</v>
      </c>
    </row>
    <row r="395">
      <c r="D395" t="s">
        <v>863</v>
      </c>
    </row>
    <row r="396">
      <c r="D396" t="s">
        <v>863</v>
      </c>
    </row>
    <row r="397">
      <c r="D397" t="s">
        <v>863</v>
      </c>
    </row>
    <row r="398">
      <c r="D398" t="s">
        <v>863</v>
      </c>
    </row>
    <row r="399">
      <c r="D399" t="s">
        <v>863</v>
      </c>
    </row>
    <row r="400">
      <c r="D400" t="s">
        <v>863</v>
      </c>
    </row>
    <row r="401">
      <c r="D401" t="s">
        <v>863</v>
      </c>
    </row>
    <row r="402">
      <c r="D402" t="s">
        <v>863</v>
      </c>
    </row>
    <row r="403">
      <c r="D403" t="s">
        <v>863</v>
      </c>
    </row>
    <row r="404">
      <c r="D404" t="s">
        <v>863</v>
      </c>
    </row>
    <row r="405">
      <c r="D405" t="s">
        <v>863</v>
      </c>
    </row>
    <row r="406">
      <c r="D406" t="s">
        <v>863</v>
      </c>
    </row>
    <row r="407">
      <c r="D407" t="s">
        <v>863</v>
      </c>
    </row>
    <row r="408">
      <c r="D408" t="s">
        <v>863</v>
      </c>
    </row>
    <row r="409">
      <c r="D409" t="s">
        <v>863</v>
      </c>
    </row>
    <row r="410">
      <c r="D410" t="s">
        <v>863</v>
      </c>
    </row>
    <row r="411">
      <c r="D411" t="s">
        <v>863</v>
      </c>
    </row>
    <row r="412">
      <c r="D412" t="s">
        <v>863</v>
      </c>
    </row>
    <row r="413">
      <c r="D413" t="s">
        <v>863</v>
      </c>
    </row>
    <row r="414">
      <c r="D414" t="s">
        <v>863</v>
      </c>
    </row>
    <row r="415">
      <c r="D415" t="s">
        <v>863</v>
      </c>
    </row>
    <row r="416">
      <c r="D416" t="s">
        <v>863</v>
      </c>
    </row>
    <row r="417">
      <c r="D417" t="s">
        <v>863</v>
      </c>
    </row>
    <row r="418">
      <c r="D418" t="s">
        <v>863</v>
      </c>
    </row>
    <row r="419">
      <c r="D419" t="s">
        <v>863</v>
      </c>
    </row>
    <row r="420">
      <c r="D420" t="s">
        <v>863</v>
      </c>
    </row>
    <row r="421">
      <c r="D421" t="s">
        <v>863</v>
      </c>
    </row>
    <row r="422">
      <c r="D422" t="s">
        <v>863</v>
      </c>
    </row>
    <row r="423">
      <c r="D423" t="s">
        <v>863</v>
      </c>
    </row>
    <row r="424">
      <c r="D424" t="s">
        <v>863</v>
      </c>
    </row>
    <row r="425">
      <c r="D425" t="s">
        <v>863</v>
      </c>
    </row>
    <row r="426">
      <c r="D426" t="s">
        <v>863</v>
      </c>
    </row>
    <row r="427">
      <c r="D427" t="s">
        <v>863</v>
      </c>
    </row>
    <row r="428">
      <c r="D428" t="s">
        <v>863</v>
      </c>
    </row>
    <row r="429">
      <c r="D429" t="s">
        <v>863</v>
      </c>
    </row>
    <row r="430">
      <c r="D430" t="s">
        <v>863</v>
      </c>
    </row>
    <row r="431">
      <c r="D431" t="s">
        <v>863</v>
      </c>
    </row>
    <row r="432">
      <c r="D432" t="s">
        <v>863</v>
      </c>
    </row>
    <row r="433">
      <c r="D433" t="s">
        <v>863</v>
      </c>
    </row>
    <row r="434">
      <c r="D434" t="s">
        <v>863</v>
      </c>
    </row>
    <row r="435">
      <c r="D435" t="s">
        <v>863</v>
      </c>
    </row>
    <row r="436">
      <c r="D436" t="s">
        <v>863</v>
      </c>
    </row>
    <row r="437">
      <c r="D437" t="s">
        <v>863</v>
      </c>
    </row>
    <row r="438">
      <c r="D438" t="s">
        <v>863</v>
      </c>
    </row>
    <row r="439">
      <c r="D439" t="s">
        <v>863</v>
      </c>
    </row>
    <row r="440">
      <c r="D440" t="s">
        <v>863</v>
      </c>
    </row>
    <row r="441">
      <c r="D441" t="s">
        <v>863</v>
      </c>
    </row>
    <row r="442">
      <c r="D442" t="s">
        <v>863</v>
      </c>
    </row>
    <row r="443">
      <c r="D443" t="s">
        <v>863</v>
      </c>
    </row>
    <row r="444">
      <c r="D444" t="s">
        <v>863</v>
      </c>
    </row>
    <row r="445">
      <c r="D445" t="s">
        <v>863</v>
      </c>
    </row>
    <row r="446">
      <c r="D446" t="s">
        <v>863</v>
      </c>
    </row>
    <row r="447">
      <c r="D447" t="s">
        <v>863</v>
      </c>
    </row>
    <row r="448">
      <c r="D448" t="s">
        <v>863</v>
      </c>
    </row>
    <row r="449">
      <c r="D449" t="s">
        <v>863</v>
      </c>
    </row>
    <row r="450">
      <c r="D450" t="s">
        <v>863</v>
      </c>
    </row>
    <row r="451">
      <c r="D451" t="s">
        <v>863</v>
      </c>
    </row>
    <row r="452">
      <c r="D452" t="s">
        <v>863</v>
      </c>
    </row>
    <row r="453">
      <c r="D453" t="s">
        <v>863</v>
      </c>
    </row>
    <row r="454">
      <c r="D454" t="s">
        <v>863</v>
      </c>
    </row>
    <row r="455">
      <c r="D455" t="s">
        <v>863</v>
      </c>
    </row>
    <row r="456">
      <c r="D456" t="s">
        <v>863</v>
      </c>
    </row>
    <row r="457">
      <c r="D457" t="s">
        <v>863</v>
      </c>
    </row>
    <row r="458">
      <c r="D458" t="s">
        <v>863</v>
      </c>
    </row>
    <row r="459">
      <c r="D459" t="s">
        <v>863</v>
      </c>
    </row>
    <row r="460">
      <c r="D460" t="s">
        <v>863</v>
      </c>
    </row>
    <row r="461">
      <c r="D461" t="s">
        <v>863</v>
      </c>
    </row>
    <row r="462">
      <c r="D462" t="s">
        <v>863</v>
      </c>
    </row>
    <row r="463">
      <c r="D463" t="s">
        <v>863</v>
      </c>
    </row>
    <row r="464">
      <c r="D464" t="s">
        <v>863</v>
      </c>
    </row>
    <row r="465">
      <c r="D465" t="s">
        <v>863</v>
      </c>
    </row>
    <row r="466">
      <c r="D466" t="s">
        <v>863</v>
      </c>
    </row>
    <row r="467">
      <c r="D467" t="s">
        <v>863</v>
      </c>
    </row>
    <row r="468">
      <c r="D468" t="s">
        <v>863</v>
      </c>
    </row>
    <row r="469">
      <c r="D469" t="s">
        <v>863</v>
      </c>
    </row>
    <row r="470">
      <c r="D470" t="s">
        <v>863</v>
      </c>
    </row>
    <row r="471">
      <c r="D471" t="s">
        <v>863</v>
      </c>
    </row>
    <row r="472">
      <c r="D472" t="s">
        <v>863</v>
      </c>
    </row>
    <row r="473">
      <c r="D473" t="s">
        <v>863</v>
      </c>
    </row>
    <row r="474">
      <c r="D474" t="s">
        <v>863</v>
      </c>
    </row>
    <row r="475">
      <c r="D475" t="s">
        <v>863</v>
      </c>
    </row>
    <row r="476">
      <c r="D476" t="s">
        <v>863</v>
      </c>
    </row>
    <row r="477">
      <c r="D477" t="s">
        <v>863</v>
      </c>
    </row>
    <row r="478">
      <c r="D478" t="s">
        <v>863</v>
      </c>
    </row>
    <row r="479">
      <c r="D479" t="s">
        <v>863</v>
      </c>
    </row>
    <row r="480">
      <c r="D480" t="s">
        <v>863</v>
      </c>
    </row>
    <row r="481">
      <c r="D481" t="s">
        <v>863</v>
      </c>
    </row>
    <row r="482">
      <c r="D482" t="s">
        <v>863</v>
      </c>
    </row>
    <row r="483">
      <c r="D483" t="s">
        <v>863</v>
      </c>
    </row>
    <row r="484">
      <c r="D484" t="s">
        <v>863</v>
      </c>
    </row>
    <row r="485">
      <c r="D485" t="s">
        <v>863</v>
      </c>
    </row>
    <row r="486">
      <c r="D486" t="s">
        <v>863</v>
      </c>
    </row>
    <row r="487">
      <c r="D487" t="s">
        <v>863</v>
      </c>
    </row>
    <row r="488">
      <c r="D488" t="s">
        <v>863</v>
      </c>
    </row>
    <row r="489">
      <c r="D489" t="s">
        <v>863</v>
      </c>
    </row>
    <row r="490">
      <c r="D490" t="s">
        <v>863</v>
      </c>
    </row>
    <row r="491">
      <c r="D491" t="s">
        <v>863</v>
      </c>
    </row>
    <row r="492">
      <c r="D492" t="s">
        <v>863</v>
      </c>
    </row>
    <row r="493">
      <c r="D493" t="s">
        <v>863</v>
      </c>
    </row>
    <row r="494">
      <c r="D494" t="s">
        <v>863</v>
      </c>
    </row>
    <row r="495">
      <c r="D495" t="s">
        <v>863</v>
      </c>
    </row>
    <row r="496">
      <c r="D496" t="s">
        <v>863</v>
      </c>
    </row>
    <row r="497">
      <c r="D497" t="s">
        <v>863</v>
      </c>
    </row>
    <row r="498">
      <c r="D498" t="s">
        <v>863</v>
      </c>
    </row>
    <row r="499">
      <c r="D499" t="s">
        <v>863</v>
      </c>
    </row>
    <row r="500">
      <c r="D500" t="s">
        <v>863</v>
      </c>
    </row>
    <row r="501">
      <c r="D501" t="s">
        <v>863</v>
      </c>
    </row>
    <row r="502">
      <c r="D502" t="s">
        <v>863</v>
      </c>
    </row>
    <row r="503">
      <c r="D503" t="s">
        <v>863</v>
      </c>
    </row>
    <row r="504">
      <c r="D504" t="s">
        <v>863</v>
      </c>
    </row>
    <row r="505">
      <c r="D505" t="s">
        <v>863</v>
      </c>
    </row>
    <row r="506">
      <c r="D506" t="s">
        <v>863</v>
      </c>
    </row>
    <row r="507">
      <c r="D507" t="s">
        <v>863</v>
      </c>
    </row>
    <row r="508">
      <c r="D508" t="s">
        <v>863</v>
      </c>
    </row>
    <row r="509">
      <c r="D509" t="s">
        <v>863</v>
      </c>
    </row>
    <row r="510">
      <c r="D510" t="s">
        <v>863</v>
      </c>
    </row>
    <row r="511">
      <c r="D511" t="s">
        <v>863</v>
      </c>
    </row>
    <row r="512">
      <c r="D512" t="s">
        <v>863</v>
      </c>
    </row>
    <row r="513">
      <c r="D513" t="s">
        <v>863</v>
      </c>
    </row>
    <row r="514">
      <c r="D514" t="s">
        <v>863</v>
      </c>
    </row>
    <row r="515">
      <c r="D515" t="s">
        <v>863</v>
      </c>
    </row>
    <row r="516">
      <c r="D516" t="s">
        <v>863</v>
      </c>
    </row>
    <row r="517">
      <c r="D517" t="s">
        <v>863</v>
      </c>
    </row>
    <row r="518">
      <c r="D518" t="s">
        <v>863</v>
      </c>
    </row>
    <row r="519">
      <c r="D519" t="s">
        <v>863</v>
      </c>
    </row>
    <row r="520">
      <c r="D520" t="s">
        <v>863</v>
      </c>
    </row>
    <row r="521">
      <c r="D521" t="s">
        <v>863</v>
      </c>
    </row>
    <row r="522">
      <c r="D522" t="s">
        <v>863</v>
      </c>
    </row>
    <row r="523">
      <c r="D523" t="s">
        <v>863</v>
      </c>
    </row>
    <row r="524">
      <c r="D524" t="s">
        <v>863</v>
      </c>
    </row>
    <row r="525">
      <c r="D525" t="s">
        <v>863</v>
      </c>
    </row>
    <row r="526">
      <c r="D526" t="s">
        <v>863</v>
      </c>
    </row>
    <row r="527">
      <c r="D527" t="s">
        <v>863</v>
      </c>
    </row>
    <row r="528">
      <c r="D528" t="s">
        <v>863</v>
      </c>
    </row>
    <row r="529">
      <c r="D529" t="s">
        <v>863</v>
      </c>
    </row>
    <row r="530">
      <c r="D530" t="s">
        <v>863</v>
      </c>
    </row>
    <row r="531">
      <c r="D531" t="s">
        <v>863</v>
      </c>
    </row>
    <row r="532">
      <c r="D532" t="s">
        <v>863</v>
      </c>
    </row>
    <row r="533">
      <c r="D533" t="s">
        <v>863</v>
      </c>
    </row>
    <row r="534">
      <c r="D534" t="s">
        <v>863</v>
      </c>
    </row>
    <row r="535">
      <c r="D535" t="s">
        <v>863</v>
      </c>
    </row>
    <row r="536">
      <c r="D536" t="s">
        <v>863</v>
      </c>
    </row>
    <row r="537">
      <c r="D537" t="s">
        <v>863</v>
      </c>
    </row>
    <row r="538">
      <c r="D538" t="s">
        <v>863</v>
      </c>
    </row>
    <row r="539">
      <c r="D539" t="s">
        <v>863</v>
      </c>
    </row>
    <row r="540">
      <c r="D540" t="s">
        <v>863</v>
      </c>
    </row>
    <row r="541">
      <c r="D541" t="s">
        <v>863</v>
      </c>
    </row>
    <row r="542">
      <c r="D542" t="s">
        <v>863</v>
      </c>
    </row>
    <row r="543">
      <c r="D543" t="s">
        <v>863</v>
      </c>
    </row>
    <row r="544">
      <c r="D544" t="s">
        <v>863</v>
      </c>
    </row>
    <row r="545">
      <c r="D545" t="s">
        <v>863</v>
      </c>
    </row>
    <row r="546">
      <c r="D546" t="s">
        <v>863</v>
      </c>
    </row>
    <row r="547">
      <c r="D547" t="s">
        <v>863</v>
      </c>
    </row>
    <row r="548">
      <c r="D548" t="s">
        <v>863</v>
      </c>
    </row>
    <row r="549">
      <c r="D549" t="s">
        <v>863</v>
      </c>
    </row>
    <row r="550">
      <c r="D550" t="s">
        <v>863</v>
      </c>
    </row>
    <row r="551">
      <c r="D551" t="s">
        <v>863</v>
      </c>
    </row>
    <row r="552">
      <c r="D552" t="s">
        <v>863</v>
      </c>
    </row>
    <row r="553">
      <c r="D553" t="s">
        <v>863</v>
      </c>
    </row>
    <row r="554">
      <c r="D554" t="s">
        <v>863</v>
      </c>
    </row>
    <row r="555">
      <c r="D555" t="s">
        <v>863</v>
      </c>
    </row>
    <row r="556">
      <c r="D556" t="s">
        <v>863</v>
      </c>
    </row>
    <row r="557">
      <c r="D557" t="s">
        <v>863</v>
      </c>
    </row>
    <row r="558">
      <c r="D558" t="s">
        <v>863</v>
      </c>
    </row>
    <row r="559">
      <c r="D559" t="s">
        <v>863</v>
      </c>
    </row>
    <row r="560">
      <c r="D560" t="s">
        <v>863</v>
      </c>
    </row>
    <row r="561">
      <c r="D561" t="s">
        <v>863</v>
      </c>
    </row>
    <row r="562">
      <c r="D562" t="s">
        <v>863</v>
      </c>
    </row>
    <row r="563">
      <c r="D563" t="s">
        <v>863</v>
      </c>
    </row>
    <row r="564">
      <c r="D564" t="s">
        <v>863</v>
      </c>
    </row>
    <row r="565">
      <c r="D565" t="s">
        <v>863</v>
      </c>
    </row>
    <row r="566">
      <c r="D566" t="s">
        <v>863</v>
      </c>
    </row>
    <row r="567">
      <c r="D567" t="s">
        <v>863</v>
      </c>
    </row>
    <row r="568">
      <c r="D568" t="s">
        <v>863</v>
      </c>
    </row>
    <row r="569">
      <c r="D569" t="s">
        <v>863</v>
      </c>
    </row>
    <row r="570">
      <c r="D570" t="s">
        <v>863</v>
      </c>
    </row>
    <row r="571">
      <c r="D571" t="s">
        <v>863</v>
      </c>
    </row>
    <row r="572">
      <c r="D572" t="s">
        <v>863</v>
      </c>
    </row>
    <row r="573">
      <c r="D573" t="s">
        <v>863</v>
      </c>
    </row>
    <row r="574">
      <c r="D574" t="s">
        <v>863</v>
      </c>
    </row>
    <row r="575">
      <c r="D575" t="s">
        <v>863</v>
      </c>
    </row>
    <row r="576">
      <c r="D576" t="s">
        <v>863</v>
      </c>
    </row>
    <row r="577">
      <c r="D577" t="s">
        <v>863</v>
      </c>
    </row>
    <row r="578">
      <c r="D578" t="s">
        <v>863</v>
      </c>
    </row>
    <row r="579">
      <c r="D579" t="s">
        <v>863</v>
      </c>
    </row>
    <row r="580">
      <c r="D580" t="s">
        <v>863</v>
      </c>
    </row>
    <row r="581">
      <c r="D581" t="s">
        <v>863</v>
      </c>
    </row>
    <row r="582">
      <c r="D582" t="s">
        <v>863</v>
      </c>
    </row>
    <row r="583">
      <c r="D583" t="s">
        <v>863</v>
      </c>
    </row>
    <row r="584">
      <c r="D584" t="s">
        <v>863</v>
      </c>
    </row>
    <row r="585">
      <c r="D585" t="s">
        <v>863</v>
      </c>
    </row>
    <row r="586">
      <c r="D586" t="s">
        <v>863</v>
      </c>
    </row>
    <row r="587">
      <c r="D587" t="s">
        <v>863</v>
      </c>
    </row>
    <row r="588">
      <c r="D588" t="s">
        <v>863</v>
      </c>
    </row>
    <row r="589">
      <c r="D589" t="s">
        <v>863</v>
      </c>
    </row>
    <row r="590">
      <c r="D590" t="s">
        <v>863</v>
      </c>
    </row>
    <row r="591">
      <c r="D591" t="s">
        <v>863</v>
      </c>
    </row>
    <row r="592">
      <c r="D592" t="s">
        <v>863</v>
      </c>
    </row>
    <row r="593">
      <c r="D593" t="s">
        <v>863</v>
      </c>
    </row>
    <row r="594">
      <c r="D594" t="s">
        <v>863</v>
      </c>
    </row>
    <row r="595">
      <c r="D595" t="s">
        <v>863</v>
      </c>
    </row>
    <row r="596">
      <c r="D596" t="s">
        <v>863</v>
      </c>
    </row>
    <row r="597">
      <c r="D597" t="s">
        <v>863</v>
      </c>
    </row>
    <row r="598">
      <c r="D598" t="s">
        <v>863</v>
      </c>
    </row>
    <row r="599">
      <c r="D599" t="s">
        <v>863</v>
      </c>
    </row>
    <row r="600">
      <c r="D600" t="s">
        <v>863</v>
      </c>
    </row>
    <row r="601">
      <c r="D601" t="s">
        <v>863</v>
      </c>
    </row>
    <row r="602">
      <c r="D602" t="s">
        <v>863</v>
      </c>
    </row>
    <row r="603">
      <c r="D603" t="s">
        <v>863</v>
      </c>
    </row>
    <row r="604">
      <c r="D604" t="s">
        <v>863</v>
      </c>
    </row>
    <row r="605">
      <c r="D605" t="s">
        <v>863</v>
      </c>
    </row>
    <row r="606">
      <c r="D606" t="s">
        <v>863</v>
      </c>
    </row>
    <row r="607">
      <c r="D607" t="s">
        <v>863</v>
      </c>
    </row>
    <row r="608">
      <c r="D608" t="s">
        <v>863</v>
      </c>
    </row>
    <row r="609">
      <c r="D609" t="s">
        <v>863</v>
      </c>
    </row>
    <row r="610">
      <c r="D610" t="s">
        <v>863</v>
      </c>
    </row>
    <row r="611">
      <c r="D611" t="s">
        <v>863</v>
      </c>
    </row>
    <row r="612">
      <c r="D612" t="s">
        <v>863</v>
      </c>
    </row>
    <row r="613">
      <c r="D613" t="s">
        <v>863</v>
      </c>
    </row>
    <row r="614">
      <c r="D614" t="s">
        <v>863</v>
      </c>
    </row>
    <row r="615">
      <c r="D615" t="s">
        <v>863</v>
      </c>
    </row>
    <row r="616">
      <c r="D616" t="s">
        <v>863</v>
      </c>
    </row>
    <row r="617">
      <c r="D617" t="s">
        <v>863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hidden="1" min="2" max="2" width="13.0"/>
    <col customWidth="1" min="3" max="3" width="13.0"/>
    <col customWidth="1" hidden="1" min="4" max="5" width="8.88"/>
    <col customWidth="1" hidden="1" min="6" max="6" width="28.5"/>
  </cols>
  <sheetData>
    <row r="1">
      <c r="A1" s="3" t="str">
        <f>If(F1&lt;&gt;E1,"⏳    ",) &amp; "Currency:"</f>
        <v>Currency:</v>
      </c>
      <c r="B1" s="12" t="str">
        <f t="array" ref="B1:C1">{"",Currencies!A1}</f>
        <v>#REF!</v>
      </c>
      <c r="C1" s="15" t="s">
        <v>3</v>
      </c>
      <c r="D1" s="22" t="str">
        <f t="array" ref="D1:E1">If(D2,{SelectedMainCurrencyAbbr,SelectedMainCurrencySymbol},XLookup(C1,Currencies!A:A,Currencies!B:C))</f>
        <v>USD</v>
      </c>
      <c r="E1" s="24" t="s">
        <v>11</v>
      </c>
      <c r="F1" s="24" t="str">
        <f>IFERROR(__xludf.DUMMYFUNCTION("RegExExtract(TO_TEXT(C3),""^\s*([^0-9\s]+)\s*\d{1,3}(?:,\d{3})*\.\d{2}"")"),"$")</f>
        <v>$</v>
      </c>
    </row>
    <row r="2" hidden="1">
      <c r="A2" s="25">
        <f>IF(IsError(B2),2,1)</f>
        <v>1</v>
      </c>
      <c r="B2" s="31" t="str">
        <f t="array" ref="B2:C2">{
  "",
  If(D2,1,IfError(1/XLookup(D1,Currencies!I:I,Currencies!J:J),Exchange_Rate(D1,SelectedMainCurrencyAbbr,Today())))
}</f>
        <v/>
      </c>
      <c r="C2" s="34">
        <v>1.0</v>
      </c>
      <c r="D2" s="24" t="b">
        <f>C1=Currencies!A1</f>
        <v>1</v>
      </c>
      <c r="E2" s="35">
        <v>10.0</v>
      </c>
      <c r="F2" s="35" t="b">
        <f>Not(SUBTOTAL(103, E2))</f>
        <v>1</v>
      </c>
    </row>
    <row r="3">
      <c r="A3" s="36" t="s">
        <v>230</v>
      </c>
      <c r="B3" s="37"/>
      <c r="C3" s="40">
        <f>Round(Sum(EXPENSESHEET_COL(C:C))+ E5 + E6 - E7,2)</f>
        <v>0</v>
      </c>
      <c r="D3" s="24"/>
      <c r="E3" s="24"/>
      <c r="F3" s="24" t="b">
        <f>IFERROR(__xludf.DUMMYFUNCTION("OR(OR(ARRAYFORMULA(COUNTIF(Indirect(""$A$8:$A""),$A10:$A19)  &gt;1)),OR(ARRAYFORMULA((((Not(IsBlank($A10:$A19)))*(IsBlank($C10:$C19)))&gt;0))),OR(ARRAYFORMULA((((IsBlank($A10:$A19))*(Not(IsBlank($C10:$C19))))&gt;0))),COUNTIF(INDIRECT(""Currencies!F:F""), C1) = 0,("&amp;"((C4&lt;&gt;"""")*(SUMPRODUCT(COUNTIF(INDIRECT(""People!A2:A""),TRIM(SPLIT(SUBSTITUTE(C4,"""""""",""""),"","")))=0)&gt;0))&gt;0))"),FALSE)</f>
        <v>0</v>
      </c>
    </row>
    <row r="4">
      <c r="A4" s="42" t="s">
        <v>300</v>
      </c>
      <c r="B4" s="43"/>
      <c r="C4" s="43"/>
      <c r="D4" s="24"/>
      <c r="E4" s="24"/>
      <c r="F4" s="2">
        <f>CountA(A10:A100000004)</f>
        <v>0</v>
      </c>
    </row>
    <row r="5">
      <c r="A5" s="47" t="str">
        <f>IFERROR(__xludf.DUMMYFUNCTION("ArrayFormula(Let(n,Now(),textValue,TO_TEXT($C5:$C7),sumOfC,Sum(EXPENSESHEET_COL(C:C)),If(RegExMatch(textValue,""^((\s*\d+(\.\d*)?\s*)|(0%))$""),""⏳  "",) &amp; {""Tax: "";""Tip:  "";""Discount:  ""} &amp; If(sumOfC=0,"""",If($E5:$E7=0,"""",""(""&amp; If(REGEXMATCH(te"&amp;"xtValue, ""%"") ,Text($E5:$E7,""""""""&amp; F1 &amp; """"""##0.00""),Text(Round($E5:$E7/sumOfC,2),""0.00%""))&amp;"")""))))"),"Tax: ")</f>
        <v>Tax: </v>
      </c>
      <c r="B5" s="52" t="str">
        <f t="shared" ref="B5:B7" si="1">{"",0}</f>
        <v/>
      </c>
      <c r="C5" s="53">
        <v>0.0</v>
      </c>
      <c r="D5" s="54">
        <f t="array" ref="D5:D7">E5:E7*$C$2</f>
        <v>0</v>
      </c>
      <c r="E5" s="54">
        <f>IFERROR(__xludf.DUMMYFUNCTION("ARRAYFORMULA(LET(
  n,Now(),
  vals, $C5:$C6,
  txt, TO_TEXT(vals),
  total, SUM(EXPENSESHEET_COL(C:C)),
    IF(REGEXMATCH(txt, ""%""),
       vals * total,
       vals
    )
  )
)"),0.0)</f>
        <v>0</v>
      </c>
      <c r="F5" s="24"/>
    </row>
    <row r="6">
      <c r="A6" s="55" t="str">
        <f>IFERROR(__xludf.DUMMYFUNCTION("""COMPUTED_VALUE"""),"Tip:  ")</f>
        <v>Tip:  </v>
      </c>
      <c r="B6" s="52" t="str">
        <f t="shared" si="1"/>
        <v/>
      </c>
      <c r="C6" s="53">
        <v>0.0</v>
      </c>
      <c r="D6" s="54">
        <v>0.0</v>
      </c>
      <c r="E6" s="54">
        <f>IFERROR(__xludf.DUMMYFUNCTION("""COMPUTED_VALUE"""),0.0)</f>
        <v>0</v>
      </c>
      <c r="F6" s="24"/>
    </row>
    <row r="7">
      <c r="A7" s="55" t="str">
        <f>IFERROR(__xludf.DUMMYFUNCTION("""COMPUTED_VALUE"""),"Discount:  ")</f>
        <v>Discount:  </v>
      </c>
      <c r="B7" s="52" t="str">
        <f t="shared" si="1"/>
        <v/>
      </c>
      <c r="C7" s="53">
        <v>0.0</v>
      </c>
      <c r="D7" s="54">
        <v>0.0</v>
      </c>
      <c r="E7" s="54">
        <f>IFERROR(__xludf.DUMMYFUNCTION("LET(
  n,Now(),
  val, $C7,
  txt, TO_TEXT(val),
  total, SUM(EXPENSESHEET_COL(C:C)),
  amount,IF(REGEXMATCH(txt, ""%""),
       val * total,
       val
    ),
   Min(total,amount)
  )
"),0.0)</f>
        <v>0</v>
      </c>
      <c r="F7" s="24"/>
    </row>
    <row r="8">
      <c r="A8" s="57" t="s">
        <v>402</v>
      </c>
      <c r="B8" s="58"/>
      <c r="C8" s="59" t="s">
        <v>407</v>
      </c>
      <c r="D8" s="54"/>
      <c r="E8" s="24"/>
      <c r="F8" s="60"/>
    </row>
    <row r="9" hidden="1">
      <c r="A9" s="61"/>
      <c r="B9" s="62"/>
      <c r="C9" s="63"/>
      <c r="D9" s="54" t="str">
        <f t="array" ref="D9:D19">If(IsBlank($C$9:$C19)+($C$9:$C19=0),,Let(itemSum,SUM($C$9:$C19),if(itemSum=0,0,(($D$5+$D$6 - MIN(itemSum,$D$7))/itemSum) * $C$9:$C19*$C$2)))</f>
        <v/>
      </c>
      <c r="E9" s="54" t="str">
        <f t="array" ref="E9:E19">If(IsBlank(C9:C19),,C9:C19*$C$2)</f>
        <v/>
      </c>
      <c r="F9" s="60"/>
    </row>
    <row r="10">
      <c r="A10" s="76"/>
      <c r="B10" s="77"/>
      <c r="C10" s="78"/>
      <c r="D10" s="79"/>
      <c r="E10" s="79"/>
      <c r="F10" s="80"/>
    </row>
    <row r="11">
      <c r="A11" s="76"/>
      <c r="B11" s="77"/>
      <c r="C11" s="78"/>
      <c r="D11" s="79"/>
      <c r="E11" s="79"/>
      <c r="F11" s="80"/>
    </row>
    <row r="12">
      <c r="A12" s="76"/>
      <c r="B12" s="77"/>
      <c r="C12" s="78"/>
      <c r="D12" s="79"/>
      <c r="E12" s="79"/>
      <c r="F12" s="80"/>
    </row>
    <row r="13">
      <c r="A13" s="81"/>
      <c r="B13" s="83"/>
      <c r="C13" s="85"/>
      <c r="D13" s="54"/>
      <c r="E13" s="54"/>
      <c r="F13" s="60"/>
    </row>
    <row r="14">
      <c r="A14" s="95"/>
      <c r="B14" s="83"/>
      <c r="C14" s="86"/>
      <c r="D14" s="54"/>
      <c r="E14" s="54"/>
      <c r="F14" s="60"/>
    </row>
    <row r="15">
      <c r="A15" s="95"/>
      <c r="B15" s="83"/>
      <c r="C15" s="86"/>
      <c r="D15" s="54"/>
      <c r="E15" s="54"/>
      <c r="F15" s="60"/>
    </row>
    <row r="16">
      <c r="A16" s="95"/>
      <c r="B16" s="83"/>
      <c r="C16" s="86"/>
      <c r="D16" s="54"/>
      <c r="E16" s="54"/>
      <c r="F16" s="60"/>
    </row>
    <row r="17">
      <c r="A17" s="95"/>
      <c r="B17" s="83"/>
      <c r="C17" s="86"/>
      <c r="D17" s="54"/>
      <c r="E17" s="54"/>
      <c r="F17" s="60"/>
    </row>
    <row r="18">
      <c r="A18" s="95"/>
      <c r="B18" s="83"/>
      <c r="C18" s="86"/>
      <c r="D18" s="54"/>
      <c r="E18" s="54"/>
      <c r="F18" s="60"/>
    </row>
    <row r="19">
      <c r="A19" s="95"/>
      <c r="B19" s="83"/>
      <c r="C19" s="86"/>
      <c r="D19" s="54"/>
      <c r="E19" s="54"/>
      <c r="F19" s="60"/>
    </row>
  </sheetData>
  <conditionalFormatting sqref="A10:A19">
    <cfRule type="expression" dxfId="0" priority="1">
      <formula>COUNTIF(Indirect("$A$8:$A"),$A10)  &gt;1</formula>
    </cfRule>
  </conditionalFormatting>
  <conditionalFormatting sqref="C10:C19">
    <cfRule type="expression" dxfId="0" priority="2">
      <formula>AND(Not(IsBlank($A10)), IsBlank($C10))</formula>
    </cfRule>
  </conditionalFormatting>
  <conditionalFormatting sqref="A10:A19">
    <cfRule type="expression" dxfId="1" priority="3">
      <formula>AND(CountA(Offset($A10,1,0,5000,2))&lt;&gt;0,IsBlank($A10))</formula>
    </cfRule>
  </conditionalFormatting>
  <conditionalFormatting sqref="C10:C19">
    <cfRule type="expression" dxfId="1" priority="4">
      <formula>AND(CountA(Offset($C10,1,-1,5000,2))&lt;&gt;0,IsBlank($C10))</formula>
    </cfRule>
  </conditionalFormatting>
  <conditionalFormatting sqref="A10:A19">
    <cfRule type="expression" dxfId="0" priority="5">
      <formula>AND(IsBlank($A10),Not(IsBlank($C10)))</formula>
    </cfRule>
  </conditionalFormatting>
  <conditionalFormatting sqref="C2">
    <cfRule type="expression" dxfId="2" priority="6">
      <formula>Not(IsError(B2))</formula>
    </cfRule>
  </conditionalFormatting>
  <conditionalFormatting sqref="C1">
    <cfRule type="expression" dxfId="3" priority="7">
      <formula>COUNTIF(INDIRECT("Currencies!F:F"), C1) = 0</formula>
    </cfRule>
  </conditionalFormatting>
  <conditionalFormatting sqref="C4">
    <cfRule type="expression" dxfId="0" priority="8">
      <formula>AND(C4&lt;&gt;"",SUMPRODUCT(COUNTIF(INDIRECT("People!A2:A"),TRIM(SPLIT(SUBSTITUTE(C4,"""",""),",")))=0)&gt;0)</formula>
    </cfRule>
  </conditionalFormatting>
  <dataValidations>
    <dataValidation type="custom" allowBlank="1" showDropDown="1" showErrorMessage="1" sqref="C10:C19">
      <formula1>AND(ISNUMBER($C10),$C10&gt;=0)</formula1>
    </dataValidation>
    <dataValidation type="custom" allowBlank="1" showDropDown="1" showInputMessage="1" showErrorMessage="1" prompt="Invalid exchange rate. Enter a positive value, or exchange rate can only be 1" sqref="C2">
      <formula1>If(D2,C2=1,C2&gt;0)</formula1>
    </dataValidation>
    <dataValidation type="list" allowBlank="1" showErrorMessage="1" sqref="C1">
      <formula1>Currencies!$F:$F</formula1>
    </dataValidation>
    <dataValidation type="list" allowBlank="1" showInputMessage="1" showErrorMessage="1" prompt="Only names in the &quot;People&quot; sheet can be selected." sqref="C4">
      <formula1>People!$A2:$A19</formula1>
    </dataValidation>
  </dataValidations>
  <drawing r:id="rId2"/>
  <legacyDrawing r:id="rId3"/>
</worksheet>
</file>